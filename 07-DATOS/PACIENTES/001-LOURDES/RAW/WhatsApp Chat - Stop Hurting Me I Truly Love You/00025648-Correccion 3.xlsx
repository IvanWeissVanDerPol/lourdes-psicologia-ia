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2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7a\AC\Temp\"/>
    </mc:Choice>
  </mc:AlternateContent>
  <xr:revisionPtr revIDLastSave="0" documentId="8_{A10A5486-4CF6-C549-8609-C09ECF7925A2}" xr6:coauthVersionLast="47" xr6:coauthVersionMax="47" xr10:uidLastSave="{00000000-0000-0000-0000-000000000000}"/>
  <bookViews>
    <workbookView xWindow="-60" yWindow="-60" windowWidth="15480" windowHeight="11640" xr2:uid="{9C64A78D-3252-462C-ACB3-039FC4C985E3}"/>
  </bookViews>
  <sheets>
    <sheet name="Ingreso Datos" sheetId="1" r:id="rId1"/>
    <sheet name="Resultados" sheetId="2" r:id="rId2"/>
    <sheet name="Tabla Mujeres" sheetId="3" r:id="rId3"/>
    <sheet name="Tabla Varones" sheetId="4" r:id="rId4"/>
    <sheet name="Estilo de Respuesta" sheetId="5" r:id="rId5"/>
  </sheets>
  <definedNames>
    <definedName name="_xlnm.Print_Area" localSheetId="1">Resultados!$A$28:$V$65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1" l="1"/>
  <c r="AC20" i="1"/>
  <c r="Q16" i="2"/>
  <c r="X21" i="1"/>
  <c r="Z4" i="1"/>
  <c r="AB4" i="1"/>
  <c r="AA4" i="1"/>
  <c r="AC4" i="1"/>
  <c r="Z5" i="1"/>
  <c r="Z6" i="1"/>
  <c r="Z7" i="1"/>
  <c r="AA7" i="1"/>
  <c r="Z8" i="1"/>
  <c r="Z9" i="1"/>
  <c r="AA9" i="1"/>
  <c r="Z10" i="1"/>
  <c r="Z11" i="1"/>
  <c r="Z12" i="1"/>
  <c r="Z13" i="1"/>
  <c r="C17" i="2"/>
  <c r="Z14" i="1"/>
  <c r="AA14" i="1"/>
  <c r="Z15" i="1"/>
  <c r="Z16" i="1"/>
  <c r="Z17" i="1"/>
  <c r="Z18" i="1"/>
  <c r="Z3" i="1"/>
  <c r="C7" i="2"/>
  <c r="W21" i="1"/>
  <c r="Z19" i="1"/>
  <c r="Q10" i="2"/>
  <c r="L30" i="2"/>
  <c r="C30" i="2"/>
  <c r="L3" i="2"/>
  <c r="C3" i="2"/>
  <c r="AB14" i="1"/>
  <c r="AC14" i="1"/>
  <c r="C19" i="2"/>
  <c r="Z21" i="1"/>
  <c r="Q15" i="2"/>
  <c r="C18" i="2"/>
  <c r="C22" i="2"/>
  <c r="AB16" i="1"/>
  <c r="AA16" i="1"/>
  <c r="AC16" i="1"/>
  <c r="R8" i="2"/>
  <c r="AB17" i="1"/>
  <c r="AA17" i="1"/>
  <c r="AC17" i="1"/>
  <c r="D21" i="2"/>
  <c r="M21" i="2"/>
  <c r="AB15" i="1"/>
  <c r="AA15" i="1"/>
  <c r="AC15" i="1"/>
  <c r="C45" i="2"/>
  <c r="AA6" i="1"/>
  <c r="AB3" i="1"/>
  <c r="AA3" i="1"/>
  <c r="AC3" i="1"/>
  <c r="C33" i="2"/>
  <c r="AB12" i="1"/>
  <c r="AA12" i="1"/>
  <c r="AC12" i="1"/>
  <c r="R12" i="2"/>
  <c r="AB10" i="1"/>
  <c r="AA10" i="1"/>
  <c r="AC10" i="1"/>
  <c r="R14" i="2"/>
  <c r="AB7" i="1"/>
  <c r="AC7" i="1"/>
  <c r="R17" i="2"/>
  <c r="C13" i="2"/>
  <c r="AC19" i="1"/>
  <c r="Q11" i="2"/>
  <c r="R22" i="2"/>
  <c r="C10" i="2"/>
  <c r="AB13" i="1"/>
  <c r="AA13" i="1"/>
  <c r="AC13" i="1"/>
  <c r="R11" i="2"/>
  <c r="AB11" i="1"/>
  <c r="AA11" i="1"/>
  <c r="AC11" i="1"/>
  <c r="R13" i="2"/>
  <c r="AB9" i="1"/>
  <c r="AC9" i="1"/>
  <c r="D13" i="2"/>
  <c r="AA8" i="1"/>
  <c r="AB6" i="1"/>
  <c r="AC6" i="1"/>
  <c r="C36" i="2"/>
  <c r="AB5" i="1"/>
  <c r="AA5" i="1"/>
  <c r="AC5" i="1"/>
  <c r="R19" i="2"/>
  <c r="C8" i="2"/>
  <c r="C34" i="2"/>
  <c r="R20" i="2"/>
  <c r="D8" i="2"/>
  <c r="AB18" i="1"/>
  <c r="AA18" i="1"/>
  <c r="AC18" i="1"/>
  <c r="C48" i="2"/>
  <c r="C12" i="2"/>
  <c r="C21" i="2"/>
  <c r="C16" i="2"/>
  <c r="C15" i="2"/>
  <c r="AB8" i="1"/>
  <c r="AC8" i="1"/>
  <c r="C38" i="2"/>
  <c r="J21" i="2"/>
  <c r="R7" i="2"/>
  <c r="C46" i="2"/>
  <c r="C20" i="2"/>
  <c r="C44" i="2"/>
  <c r="R10" i="2"/>
  <c r="D18" i="2"/>
  <c r="D17" i="2"/>
  <c r="C41" i="2"/>
  <c r="D14" i="2"/>
  <c r="C14" i="2"/>
  <c r="C11" i="2"/>
  <c r="C37" i="2"/>
  <c r="AC21" i="1"/>
  <c r="Q21" i="2"/>
  <c r="Q20" i="2"/>
  <c r="C35" i="2"/>
  <c r="C9" i="2"/>
  <c r="R15" i="2"/>
  <c r="D11" i="2"/>
  <c r="C39" i="2"/>
  <c r="D20" i="2"/>
  <c r="E21" i="2"/>
  <c r="R21" i="2"/>
  <c r="C42" i="2"/>
  <c r="D10" i="2"/>
  <c r="J10" i="2"/>
  <c r="R6" i="2"/>
  <c r="D7" i="2"/>
  <c r="L7" i="2"/>
  <c r="C40" i="2"/>
  <c r="R18" i="2"/>
  <c r="D16" i="2"/>
  <c r="J16" i="2"/>
  <c r="R16" i="2"/>
  <c r="D9" i="2"/>
  <c r="F9" i="2"/>
  <c r="C43" i="2"/>
  <c r="C56" i="2"/>
  <c r="D19" i="2"/>
  <c r="K19" i="2"/>
  <c r="C47" i="2"/>
  <c r="K21" i="2"/>
  <c r="G21" i="2"/>
  <c r="R9" i="2"/>
  <c r="D15" i="2"/>
  <c r="I15" i="2"/>
  <c r="E8" i="2"/>
  <c r="K8" i="2"/>
  <c r="J8" i="2"/>
  <c r="G8" i="2"/>
  <c r="D22" i="2"/>
  <c r="I22" i="2"/>
  <c r="D12" i="2"/>
  <c r="M12" i="2"/>
  <c r="K10" i="2"/>
  <c r="J20" i="2"/>
  <c r="F20" i="2"/>
  <c r="H20" i="2"/>
  <c r="G18" i="2"/>
  <c r="I18" i="2"/>
  <c r="M18" i="2"/>
  <c r="E18" i="2"/>
  <c r="F17" i="2"/>
  <c r="K17" i="2"/>
  <c r="G17" i="2"/>
  <c r="I17" i="2"/>
  <c r="N16" i="2"/>
  <c r="G15" i="2"/>
  <c r="E13" i="2"/>
  <c r="H13" i="2"/>
  <c r="J13" i="2"/>
  <c r="K13" i="2"/>
  <c r="N13" i="2"/>
  <c r="M14" i="2"/>
  <c r="L14" i="2"/>
  <c r="E14" i="2"/>
  <c r="J14" i="2"/>
  <c r="G14" i="2"/>
  <c r="K11" i="2"/>
  <c r="G11" i="2"/>
  <c r="N11" i="2"/>
  <c r="I11" i="2"/>
  <c r="E11" i="2"/>
  <c r="E7" i="2"/>
  <c r="K9" i="2"/>
  <c r="N9" i="2"/>
  <c r="H9" i="2"/>
  <c r="H19" i="2"/>
  <c r="H24" i="2"/>
  <c r="G7" i="2"/>
  <c r="M7" i="2"/>
  <c r="J7" i="2"/>
  <c r="K15" i="2"/>
  <c r="M10" i="2"/>
  <c r="G10" i="2"/>
  <c r="K22" i="2"/>
  <c r="K24" i="2"/>
  <c r="G22" i="2"/>
  <c r="F19" i="2"/>
  <c r="J19" i="2"/>
  <c r="J9" i="2"/>
  <c r="E22" i="2"/>
  <c r="G12" i="2"/>
  <c r="G24" i="2"/>
  <c r="L12" i="2"/>
  <c r="L24" i="2"/>
  <c r="E12" i="2"/>
  <c r="F24" i="2"/>
  <c r="I24" i="2"/>
  <c r="N24" i="2"/>
  <c r="M24" i="2"/>
  <c r="J24" i="2"/>
  <c r="K25" i="2"/>
  <c r="R24" i="2"/>
  <c r="E24" i="2"/>
  <c r="E25" i="2"/>
  <c r="C51" i="2"/>
  <c r="G25" i="2"/>
  <c r="R26" i="2"/>
  <c r="M25" i="2"/>
  <c r="R23" i="2"/>
  <c r="I25" i="2"/>
  <c r="C53" i="2"/>
  <c r="C52" i="2"/>
  <c r="C54" i="2"/>
  <c r="R27" i="2"/>
  <c r="C55" i="2"/>
  <c r="R25" i="2"/>
</calcChain>
</file>

<file path=xl/sharedStrings.xml><?xml version="1.0" encoding="utf-8"?>
<sst xmlns="http://schemas.openxmlformats.org/spreadsheetml/2006/main" count="277" uniqueCount="138">
  <si>
    <t>16 PF 5</t>
  </si>
  <si>
    <t>.</t>
  </si>
  <si>
    <t>NOMBRE:</t>
  </si>
  <si>
    <t>SEXO:</t>
  </si>
  <si>
    <t>M</t>
  </si>
  <si>
    <t>FECHA:</t>
  </si>
  <si>
    <t>ESC.</t>
  </si>
  <si>
    <t>PD</t>
  </si>
  <si>
    <t>F</t>
  </si>
  <si>
    <t>DE</t>
  </si>
  <si>
    <t>A</t>
  </si>
  <si>
    <t>B</t>
  </si>
  <si>
    <t>C</t>
  </si>
  <si>
    <t>E</t>
  </si>
  <si>
    <t>G</t>
  </si>
  <si>
    <t>H</t>
  </si>
  <si>
    <t>I</t>
  </si>
  <si>
    <t>L</t>
  </si>
  <si>
    <t>N</t>
  </si>
  <si>
    <t>O</t>
  </si>
  <si>
    <t>Q1</t>
  </si>
  <si>
    <t>Q2</t>
  </si>
  <si>
    <t>Q3</t>
  </si>
  <si>
    <t>Q4</t>
  </si>
  <si>
    <t>MI</t>
  </si>
  <si>
    <t>IN</t>
  </si>
  <si>
    <t>AQ</t>
  </si>
  <si>
    <t>OBTENCIÓN DE DIMENSIONES GLOBALES</t>
  </si>
  <si>
    <t xml:space="preserve">        FECHA:</t>
  </si>
  <si>
    <t>ESTABILIDAD</t>
  </si>
  <si>
    <t>ANSIEDAD</t>
  </si>
  <si>
    <t>DUREZA</t>
  </si>
  <si>
    <t>INDEPENDENCIA</t>
  </si>
  <si>
    <t>AUTOCONTROL</t>
  </si>
  <si>
    <t>ESCALAS PRIMARIAS</t>
  </si>
  <si>
    <t>+</t>
  </si>
  <si>
    <t>--</t>
  </si>
  <si>
    <t>Afabilidad</t>
  </si>
  <si>
    <t>ESTILOS DE</t>
  </si>
  <si>
    <t>Razonamiento</t>
  </si>
  <si>
    <t>RESPUESTA</t>
  </si>
  <si>
    <t>Estabilidad</t>
  </si>
  <si>
    <t>Dominancia</t>
  </si>
  <si>
    <t>PD:</t>
  </si>
  <si>
    <t>Animación</t>
  </si>
  <si>
    <t>DE:</t>
  </si>
  <si>
    <t>Atención-normas</t>
  </si>
  <si>
    <t>Atrevimiento</t>
  </si>
  <si>
    <t>Sensibilidad</t>
  </si>
  <si>
    <t>Vigilancia</t>
  </si>
  <si>
    <t>Abstracción</t>
  </si>
  <si>
    <t>Privacidad</t>
  </si>
  <si>
    <t>Aprensión</t>
  </si>
  <si>
    <t>Apertura-cambio</t>
  </si>
  <si>
    <t>Autosuficiencia</t>
  </si>
  <si>
    <t>Perfeccionismo</t>
  </si>
  <si>
    <t>Tensión</t>
  </si>
  <si>
    <t>Constantes</t>
  </si>
  <si>
    <t xml:space="preserve">       Sumas</t>
  </si>
  <si>
    <t xml:space="preserve">           Decatipo en la dimensión</t>
  </si>
  <si>
    <t>PERFIL DE ESCALAS PRIMARIAS Y DIMESIONES GLOBALES</t>
  </si>
  <si>
    <t>El ptje bajo define una persona...</t>
  </si>
  <si>
    <t>El ptje alto define una persona...</t>
  </si>
  <si>
    <t>Fría, impersonal, distante</t>
  </si>
  <si>
    <t>Cálida, afable, generosa, atenta a los demás</t>
  </si>
  <si>
    <t>De pensamiento concreto</t>
  </si>
  <si>
    <t>De pensamiento abstracto</t>
  </si>
  <si>
    <t>Reactiva, emocionalmente cambiante</t>
  </si>
  <si>
    <t>Emocionalmente estable, adaptada, madura</t>
  </si>
  <si>
    <t>Deferente, cooperadora, que evita conflictos</t>
  </si>
  <si>
    <t>Dominante, asertiva, competitiva</t>
  </si>
  <si>
    <t>Seria, reprimida, cuidadosa</t>
  </si>
  <si>
    <t>Animosa, espontánea, activa, entusiasta</t>
  </si>
  <si>
    <t>Inconformista, muy suya, indulgente</t>
  </si>
  <si>
    <t>Atenta a las normas, cumplidora, formal</t>
  </si>
  <si>
    <t>Tímida, temerosa, cohibida</t>
  </si>
  <si>
    <t>Emprendedora, atrevida y segura en lo social</t>
  </si>
  <si>
    <t>Objetiva, nada sentimental, utilitaria</t>
  </si>
  <si>
    <t>Sensible, esteta, sentimental</t>
  </si>
  <si>
    <t>Confiada, sin sospechas, adaptable</t>
  </si>
  <si>
    <t>Vigilante, suspicaz, escéptica, precavida</t>
  </si>
  <si>
    <t>Práctica, con los pies en tierra, realista</t>
  </si>
  <si>
    <t>Abstraida, imaginativa, idealista</t>
  </si>
  <si>
    <t xml:space="preserve">Abierta, genuina, llana, natural </t>
  </si>
  <si>
    <t>Privada, calculadora, discreta, que no se abre</t>
  </si>
  <si>
    <t>Segura, despreocupada, satisfecha</t>
  </si>
  <si>
    <t>Aprensiva, insegura, preocupada</t>
  </si>
  <si>
    <t>Tradicional, apegada a lo familiar</t>
  </si>
  <si>
    <t>Abierta al cambio, experimental, analítica</t>
  </si>
  <si>
    <t>Seguidora, se integra en el grupo</t>
  </si>
  <si>
    <t>Autosuficiente, individualista, solitaria</t>
  </si>
  <si>
    <t>Flexible, tolerante con el desorden o las faltas</t>
  </si>
  <si>
    <t>Perfeccionista, organizada, disciplinada</t>
  </si>
  <si>
    <t>Relajada, plácida, paciente</t>
  </si>
  <si>
    <t>Tensa, enérgica, impaciente, intranquila</t>
  </si>
  <si>
    <t>DIMENSIONES GLOBALES</t>
  </si>
  <si>
    <t>Ext</t>
  </si>
  <si>
    <t>Extraversión</t>
  </si>
  <si>
    <t>Introvertida, socialmente inhibida</t>
  </si>
  <si>
    <t>Extravertida, socialmente participadora</t>
  </si>
  <si>
    <t>Ans</t>
  </si>
  <si>
    <t>Ansiedad</t>
  </si>
  <si>
    <t>Imperturbable, con poca ansiedad</t>
  </si>
  <si>
    <t>Perturbable, con mucha ansiedad</t>
  </si>
  <si>
    <t>Dur</t>
  </si>
  <si>
    <t>Dureza</t>
  </si>
  <si>
    <t>Receptiva, de mente abierta, intuitiva</t>
  </si>
  <si>
    <t>Dura, firme, inflexible, fría, objetiva</t>
  </si>
  <si>
    <t>Ind</t>
  </si>
  <si>
    <t>Independencia</t>
  </si>
  <si>
    <t>Acomodaticia, acepta acuerdos, cede fácil</t>
  </si>
  <si>
    <t>Independiente, crítica, polemiza, analítica</t>
  </si>
  <si>
    <t>AuC</t>
  </si>
  <si>
    <t>Autocontrol</t>
  </si>
  <si>
    <t>No reprimida, sigue sus impulsos</t>
  </si>
  <si>
    <t>Autocontrolada, contiene sus impulsos</t>
  </si>
  <si>
    <t>Manipul. Imagen</t>
  </si>
  <si>
    <t>Deseosa de presentar una mala imagen</t>
  </si>
  <si>
    <t>Deseosa de presentar una buena imagen</t>
  </si>
  <si>
    <t>Nota: los puntos fuera de la zona central (decatipos 4 - 7) indican alejamientos significativos; a ellos se les puede aplicar, con mayor probabilidad de acierto</t>
  </si>
  <si>
    <t xml:space="preserve"> los adjetivos descritos en los extremos alto y bajo.             Rangos:</t>
  </si>
  <si>
    <t>Muy bajo</t>
  </si>
  <si>
    <t>2 - 3</t>
  </si>
  <si>
    <t>Bajo</t>
  </si>
  <si>
    <t>4</t>
  </si>
  <si>
    <t>Promedio bajo</t>
  </si>
  <si>
    <t>5 - 6</t>
  </si>
  <si>
    <t>Promedio</t>
  </si>
  <si>
    <t>7</t>
  </si>
  <si>
    <t>Promedio alto</t>
  </si>
  <si>
    <t>8 - 9</t>
  </si>
  <si>
    <t>Alto</t>
  </si>
  <si>
    <t>10</t>
  </si>
  <si>
    <t>Muy alto</t>
  </si>
  <si>
    <t>DECAPITOS</t>
  </si>
  <si>
    <t>Esc.</t>
  </si>
  <si>
    <t>DECATIPOS</t>
  </si>
  <si>
    <t>aabr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</si>
</sst>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0;[Red]0.00"/>
    <numFmt numFmtId="166" formatCode="0.0;[Red]0.0"/>
    <numFmt numFmtId="167" formatCode="#,##0;[Red]#,##0"/>
  </numFmts>
  <fonts count="26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color indexed="8"/>
      <name val="Arial"/>
      <family val="2"/>
    </font>
    <font>
      <sz val="10"/>
      <color indexed="24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12"/>
      <name val="Arial"/>
      <family val="2"/>
    </font>
    <font>
      <b/>
      <u/>
      <sz val="12"/>
      <name val="Arial"/>
      <family val="2"/>
    </font>
    <font>
      <sz val="9"/>
      <name val="Arial Narrow"/>
      <family val="2"/>
    </font>
    <font>
      <sz val="7"/>
      <name val="Arial"/>
      <family val="2"/>
    </font>
    <font>
      <sz val="10"/>
      <name val="Bimini"/>
      <family val="2"/>
    </font>
    <font>
      <sz val="9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1" fillId="0" borderId="0" xfId="0" applyFont="1"/>
    <xf numFmtId="0" fontId="6" fillId="2" borderId="3" xfId="0" applyFont="1" applyFill="1" applyBorder="1"/>
    <xf numFmtId="0" fontId="6" fillId="2" borderId="4" xfId="0" applyFont="1" applyFill="1" applyBorder="1"/>
    <xf numFmtId="0" fontId="8" fillId="0" borderId="0" xfId="0" applyFont="1"/>
    <xf numFmtId="0" fontId="3" fillId="0" borderId="0" xfId="0" applyFont="1" applyFill="1"/>
    <xf numFmtId="0" fontId="8" fillId="0" borderId="0" xfId="0" applyFont="1" applyBorder="1"/>
    <xf numFmtId="164" fontId="4" fillId="0" borderId="0" xfId="0" applyNumberFormat="1" applyFont="1" applyFill="1" applyBorder="1" applyProtection="1"/>
    <xf numFmtId="0" fontId="4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 applyProtection="1">
      <alignment horizontal="left"/>
    </xf>
    <xf numFmtId="164" fontId="4" fillId="0" borderId="0" xfId="0" applyNumberFormat="1" applyFont="1" applyFill="1" applyBorder="1" applyAlignment="1" applyProtection="1">
      <alignment horizontal="left"/>
    </xf>
    <xf numFmtId="0" fontId="0" fillId="0" borderId="0" xfId="0" applyFill="1" applyBorder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0" fontId="8" fillId="0" borderId="0" xfId="0" applyFont="1" applyFill="1" applyBorder="1"/>
    <xf numFmtId="0" fontId="1" fillId="0" borderId="0" xfId="0" applyFont="1" applyFill="1" applyBorder="1"/>
    <xf numFmtId="164" fontId="5" fillId="0" borderId="0" xfId="0" applyNumberFormat="1" applyFont="1" applyFill="1" applyBorder="1" applyAlignment="1" applyProtection="1">
      <alignment horizontal="left"/>
    </xf>
    <xf numFmtId="164" fontId="5" fillId="0" borderId="0" xfId="0" applyNumberFormat="1" applyFont="1" applyFill="1" applyBorder="1" applyProtection="1"/>
    <xf numFmtId="0" fontId="5" fillId="0" borderId="0" xfId="0" applyFont="1" applyFill="1" applyBorder="1"/>
    <xf numFmtId="0" fontId="10" fillId="0" borderId="0" xfId="0" applyFont="1" applyBorder="1"/>
    <xf numFmtId="0" fontId="0" fillId="0" borderId="0" xfId="0" applyBorder="1"/>
    <xf numFmtId="0" fontId="7" fillId="0" borderId="0" xfId="0" applyFont="1" applyFill="1"/>
    <xf numFmtId="0" fontId="0" fillId="0" borderId="0" xfId="0" applyFill="1"/>
    <xf numFmtId="0" fontId="10" fillId="0" borderId="5" xfId="0" applyFont="1" applyBorder="1"/>
    <xf numFmtId="0" fontId="10" fillId="0" borderId="3" xfId="0" applyFont="1" applyBorder="1"/>
    <xf numFmtId="0" fontId="10" fillId="0" borderId="4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2" fillId="0" borderId="11" xfId="0" applyFont="1" applyBorder="1"/>
    <xf numFmtId="0" fontId="2" fillId="0" borderId="7" xfId="0" applyFont="1" applyBorder="1"/>
    <xf numFmtId="0" fontId="2" fillId="0" borderId="9" xfId="0" applyFont="1" applyBorder="1"/>
    <xf numFmtId="0" fontId="0" fillId="0" borderId="0" xfId="0" applyBorder="1" applyAlignment="1"/>
    <xf numFmtId="0" fontId="2" fillId="0" borderId="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3" borderId="16" xfId="0" applyFill="1" applyBorder="1"/>
    <xf numFmtId="0" fontId="0" fillId="0" borderId="14" xfId="0" applyBorder="1"/>
    <xf numFmtId="0" fontId="0" fillId="3" borderId="3" xfId="0" applyFill="1" applyBorder="1"/>
    <xf numFmtId="0" fontId="0" fillId="0" borderId="17" xfId="0" applyBorder="1"/>
    <xf numFmtId="0" fontId="0" fillId="0" borderId="18" xfId="0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4" fillId="0" borderId="22" xfId="0" applyFont="1" applyBorder="1" applyAlignment="1">
      <alignment horizontal="centerContinuous"/>
    </xf>
    <xf numFmtId="0" fontId="0" fillId="0" borderId="23" xfId="0" applyBorder="1" applyAlignment="1">
      <alignment horizontal="centerContinuous"/>
    </xf>
    <xf numFmtId="0" fontId="11" fillId="0" borderId="24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25" xfId="0" applyBorder="1" applyAlignment="1"/>
    <xf numFmtId="0" fontId="2" fillId="0" borderId="25" xfId="0" applyFont="1" applyBorder="1" applyAlignment="1"/>
    <xf numFmtId="0" fontId="0" fillId="0" borderId="24" xfId="0" applyBorder="1" applyAlignment="1"/>
    <xf numFmtId="0" fontId="2" fillId="0" borderId="24" xfId="0" applyFont="1" applyBorder="1" applyAlignment="1"/>
    <xf numFmtId="0" fontId="2" fillId="0" borderId="21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15" fillId="0" borderId="0" xfId="0" applyFont="1"/>
    <xf numFmtId="0" fontId="0" fillId="0" borderId="21" xfId="0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16" fillId="0" borderId="0" xfId="0" applyFont="1" applyAlignment="1">
      <alignment horizontal="centerContinuous"/>
    </xf>
    <xf numFmtId="0" fontId="3" fillId="0" borderId="0" xfId="0" applyFont="1"/>
    <xf numFmtId="0" fontId="2" fillId="0" borderId="0" xfId="0" applyFont="1" applyBorder="1" applyAlignment="1">
      <alignment horizontal="left"/>
    </xf>
    <xf numFmtId="0" fontId="0" fillId="4" borderId="6" xfId="0" applyFill="1" applyBorder="1"/>
    <xf numFmtId="0" fontId="0" fillId="4" borderId="0" xfId="0" applyFill="1" applyBorder="1"/>
    <xf numFmtId="0" fontId="0" fillId="4" borderId="7" xfId="0" applyFill="1" applyBorder="1"/>
    <xf numFmtId="0" fontId="11" fillId="0" borderId="21" xfId="0" applyFont="1" applyBorder="1" applyAlignment="1"/>
    <xf numFmtId="0" fontId="11" fillId="0" borderId="25" xfId="0" applyFont="1" applyBorder="1" applyAlignment="1"/>
    <xf numFmtId="0" fontId="11" fillId="0" borderId="24" xfId="0" applyFont="1" applyBorder="1" applyAlignment="1"/>
    <xf numFmtId="0" fontId="11" fillId="0" borderId="0" xfId="0" applyFont="1" applyBorder="1" applyAlignment="1"/>
    <xf numFmtId="0" fontId="13" fillId="0" borderId="26" xfId="0" applyFont="1" applyBorder="1" applyAlignment="1">
      <alignment horizontal="centerContinuous" wrapText="1"/>
    </xf>
    <xf numFmtId="0" fontId="13" fillId="0" borderId="27" xfId="0" applyFont="1" applyBorder="1" applyAlignment="1">
      <alignment horizontal="centerContinuous" wrapText="1"/>
    </xf>
    <xf numFmtId="0" fontId="17" fillId="0" borderId="21" xfId="0" applyFont="1" applyBorder="1" applyAlignment="1"/>
    <xf numFmtId="0" fontId="17" fillId="0" borderId="25" xfId="0" applyFont="1" applyBorder="1" applyAlignment="1"/>
    <xf numFmtId="0" fontId="17" fillId="0" borderId="24" xfId="0" applyFont="1" applyBorder="1" applyAlignment="1"/>
    <xf numFmtId="0" fontId="17" fillId="0" borderId="10" xfId="0" applyFont="1" applyBorder="1" applyAlignment="1"/>
    <xf numFmtId="0" fontId="0" fillId="0" borderId="25" xfId="0" applyBorder="1"/>
    <xf numFmtId="0" fontId="0" fillId="0" borderId="24" xfId="0" applyBorder="1"/>
    <xf numFmtId="0" fontId="1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8" fillId="0" borderId="17" xfId="0" quotePrefix="1" applyFont="1" applyBorder="1" applyAlignment="1">
      <alignment horizontal="center"/>
    </xf>
    <xf numFmtId="0" fontId="12" fillId="4" borderId="10" xfId="0" applyFont="1" applyFill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12" fillId="4" borderId="12" xfId="0" applyFont="1" applyFill="1" applyBorder="1" applyAlignment="1">
      <alignment horizontal="right"/>
    </xf>
    <xf numFmtId="0" fontId="12" fillId="4" borderId="11" xfId="0" applyFont="1" applyFill="1" applyBorder="1" applyAlignment="1">
      <alignment horizontal="right"/>
    </xf>
    <xf numFmtId="0" fontId="0" fillId="0" borderId="6" xfId="0" applyFill="1" applyBorder="1"/>
    <xf numFmtId="0" fontId="2" fillId="0" borderId="28" xfId="0" applyFont="1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28" xfId="0" applyFill="1" applyBorder="1"/>
    <xf numFmtId="0" fontId="0" fillId="0" borderId="29" xfId="0" applyBorder="1"/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0" fillId="0" borderId="30" xfId="0" applyBorder="1"/>
    <xf numFmtId="0" fontId="0" fillId="4" borderId="29" xfId="0" applyFill="1" applyBorder="1"/>
    <xf numFmtId="0" fontId="0" fillId="4" borderId="30" xfId="0" applyFill="1" applyBorder="1"/>
    <xf numFmtId="0" fontId="0" fillId="4" borderId="32" xfId="0" applyFill="1" applyBorder="1"/>
    <xf numFmtId="0" fontId="0" fillId="0" borderId="31" xfId="0" applyBorder="1"/>
    <xf numFmtId="0" fontId="17" fillId="0" borderId="21" xfId="0" applyFont="1" applyBorder="1"/>
    <xf numFmtId="0" fontId="17" fillId="0" borderId="10" xfId="0" applyFont="1" applyBorder="1"/>
    <xf numFmtId="0" fontId="17" fillId="0" borderId="30" xfId="0" applyFont="1" applyBorder="1"/>
    <xf numFmtId="0" fontId="17" fillId="0" borderId="25" xfId="0" applyFont="1" applyBorder="1"/>
    <xf numFmtId="0" fontId="17" fillId="0" borderId="12" xfId="0" applyFont="1" applyBorder="1"/>
    <xf numFmtId="0" fontId="19" fillId="0" borderId="0" xfId="0" applyFont="1" applyFill="1" applyBorder="1"/>
    <xf numFmtId="0" fontId="0" fillId="0" borderId="25" xfId="0" applyFill="1" applyBorder="1"/>
    <xf numFmtId="0" fontId="19" fillId="0" borderId="0" xfId="0" applyFont="1"/>
    <xf numFmtId="49" fontId="19" fillId="0" borderId="1" xfId="0" applyNumberFormat="1" applyFon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0" fontId="19" fillId="0" borderId="25" xfId="0" applyFont="1" applyFill="1" applyBorder="1"/>
    <xf numFmtId="0" fontId="19" fillId="0" borderId="0" xfId="0" applyFont="1" applyAlignment="1">
      <alignment horizontal="right"/>
    </xf>
    <xf numFmtId="49" fontId="19" fillId="0" borderId="0" xfId="0" applyNumberFormat="1" applyFont="1"/>
    <xf numFmtId="165" fontId="0" fillId="0" borderId="0" xfId="0" applyNumberFormat="1"/>
    <xf numFmtId="166" fontId="14" fillId="0" borderId="22" xfId="0" applyNumberFormat="1" applyFont="1" applyBorder="1" applyAlignment="1">
      <alignment horizontal="centerContinuous"/>
    </xf>
    <xf numFmtId="0" fontId="0" fillId="0" borderId="11" xfId="0" applyBorder="1" applyAlignment="1"/>
    <xf numFmtId="0" fontId="6" fillId="0" borderId="31" xfId="0" applyFont="1" applyBorder="1" applyProtection="1">
      <protection locked="0"/>
    </xf>
    <xf numFmtId="0" fontId="6" fillId="0" borderId="29" xfId="0" applyFont="1" applyBorder="1" applyProtection="1">
      <protection locked="0"/>
    </xf>
    <xf numFmtId="14" fontId="2" fillId="0" borderId="25" xfId="0" applyNumberFormat="1" applyFont="1" applyBorder="1" applyAlignment="1">
      <alignment horizontal="centerContinuous"/>
    </xf>
    <xf numFmtId="0" fontId="2" fillId="0" borderId="25" xfId="0" applyFont="1" applyBorder="1" applyAlignment="1">
      <alignment horizontal="centerContinuous"/>
    </xf>
    <xf numFmtId="0" fontId="2" fillId="0" borderId="24" xfId="0" applyFont="1" applyBorder="1" applyAlignment="1">
      <alignment horizontal="centerContinuous"/>
    </xf>
    <xf numFmtId="167" fontId="20" fillId="0" borderId="0" xfId="0" applyNumberFormat="1" applyFont="1"/>
    <xf numFmtId="167" fontId="21" fillId="0" borderId="0" xfId="0" applyNumberFormat="1" applyFont="1" applyAlignment="1">
      <alignment horizontal="center"/>
    </xf>
    <xf numFmtId="167" fontId="21" fillId="0" borderId="0" xfId="0" applyNumberFormat="1" applyFont="1"/>
    <xf numFmtId="167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Continuous" vertical="center" wrapText="1"/>
    </xf>
    <xf numFmtId="167" fontId="21" fillId="0" borderId="0" xfId="0" applyNumberFormat="1" applyFont="1" applyAlignment="1">
      <alignment horizontal="centerContinuous" vertical="center" wrapText="1"/>
    </xf>
    <xf numFmtId="167" fontId="20" fillId="0" borderId="33" xfId="0" applyNumberFormat="1" applyFont="1" applyBorder="1"/>
    <xf numFmtId="167" fontId="20" fillId="0" borderId="26" xfId="0" applyNumberFormat="1" applyFont="1" applyBorder="1" applyAlignment="1">
      <alignment horizontal="center"/>
    </xf>
    <xf numFmtId="1" fontId="21" fillId="0" borderId="27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1" fontId="20" fillId="0" borderId="26" xfId="0" applyNumberFormat="1" applyFont="1" applyBorder="1" applyAlignment="1">
      <alignment horizontal="center"/>
    </xf>
    <xf numFmtId="1" fontId="20" fillId="0" borderId="33" xfId="0" applyNumberFormat="1" applyFont="1" applyBorder="1" applyAlignment="1">
      <alignment horizontal="center"/>
    </xf>
    <xf numFmtId="165" fontId="20" fillId="0" borderId="26" xfId="0" applyNumberFormat="1" applyFont="1" applyBorder="1" applyAlignment="1">
      <alignment horizontal="center"/>
    </xf>
    <xf numFmtId="165" fontId="20" fillId="0" borderId="27" xfId="0" applyNumberFormat="1" applyFont="1" applyBorder="1" applyAlignment="1">
      <alignment horizontal="center"/>
    </xf>
    <xf numFmtId="167" fontId="20" fillId="0" borderId="27" xfId="0" applyNumberFormat="1" applyFont="1" applyBorder="1" applyAlignment="1">
      <alignment horizontal="center"/>
    </xf>
    <xf numFmtId="167" fontId="20" fillId="0" borderId="26" xfId="0" applyNumberFormat="1" applyFont="1" applyBorder="1"/>
    <xf numFmtId="167" fontId="20" fillId="0" borderId="0" xfId="0" applyNumberFormat="1" applyFont="1" applyBorder="1"/>
    <xf numFmtId="1" fontId="21" fillId="0" borderId="14" xfId="0" applyNumberFormat="1" applyFont="1" applyBorder="1" applyAlignment="1">
      <alignment horizontal="center"/>
    </xf>
    <xf numFmtId="167" fontId="20" fillId="0" borderId="17" xfId="0" applyNumberFormat="1" applyFont="1" applyBorder="1" applyAlignment="1">
      <alignment horizontal="center"/>
    </xf>
    <xf numFmtId="167" fontId="20" fillId="0" borderId="0" xfId="0" applyNumberFormat="1" applyFont="1" applyBorder="1" applyAlignment="1">
      <alignment horizontal="center"/>
    </xf>
    <xf numFmtId="167" fontId="21" fillId="0" borderId="14" xfId="0" applyNumberFormat="1" applyFont="1" applyBorder="1" applyAlignment="1">
      <alignment horizontal="center"/>
    </xf>
    <xf numFmtId="167" fontId="20" fillId="0" borderId="17" xfId="0" applyNumberFormat="1" applyFont="1" applyBorder="1"/>
    <xf numFmtId="1" fontId="20" fillId="0" borderId="17" xfId="0" applyNumberFormat="1" applyFont="1" applyBorder="1" applyAlignment="1">
      <alignment horizontal="center"/>
    </xf>
    <xf numFmtId="1" fontId="20" fillId="0" borderId="0" xfId="0" applyNumberFormat="1" applyFont="1" applyBorder="1" applyAlignment="1">
      <alignment horizontal="center"/>
    </xf>
    <xf numFmtId="1" fontId="21" fillId="0" borderId="0" xfId="0" applyNumberFormat="1" applyFont="1" applyBorder="1"/>
    <xf numFmtId="1" fontId="20" fillId="0" borderId="17" xfId="0" applyNumberFormat="1" applyFont="1" applyBorder="1"/>
    <xf numFmtId="1" fontId="21" fillId="0" borderId="0" xfId="0" applyNumberFormat="1" applyFont="1"/>
    <xf numFmtId="1" fontId="21" fillId="0" borderId="34" xfId="0" applyNumberFormat="1" applyFont="1" applyBorder="1" applyAlignment="1">
      <alignment horizontal="center"/>
    </xf>
    <xf numFmtId="167" fontId="20" fillId="0" borderId="35" xfId="0" applyNumberFormat="1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67" fontId="21" fillId="0" borderId="34" xfId="0" applyNumberFormat="1" applyFont="1" applyBorder="1" applyAlignment="1">
      <alignment horizontal="center"/>
    </xf>
    <xf numFmtId="167" fontId="20" fillId="0" borderId="36" xfId="0" applyNumberFormat="1" applyFont="1" applyBorder="1"/>
    <xf numFmtId="1" fontId="20" fillId="0" borderId="36" xfId="0" applyNumberFormat="1" applyFont="1" applyBorder="1" applyAlignment="1">
      <alignment horizontal="center"/>
    </xf>
    <xf numFmtId="1" fontId="20" fillId="0" borderId="35" xfId="0" applyNumberFormat="1" applyFont="1" applyBorder="1" applyAlignment="1">
      <alignment horizontal="center"/>
    </xf>
    <xf numFmtId="167" fontId="20" fillId="0" borderId="36" xfId="0" applyNumberFormat="1" applyFont="1" applyBorder="1" applyAlignment="1">
      <alignment horizontal="center"/>
    </xf>
    <xf numFmtId="1" fontId="21" fillId="0" borderId="33" xfId="0" applyNumberFormat="1" applyFont="1" applyBorder="1" applyAlignment="1">
      <alignment horizontal="center"/>
    </xf>
    <xf numFmtId="167" fontId="21" fillId="0" borderId="0" xfId="0" applyNumberFormat="1" applyFont="1" applyBorder="1" applyAlignment="1">
      <alignment horizontal="center"/>
    </xf>
    <xf numFmtId="1" fontId="21" fillId="0" borderId="0" xfId="0" applyNumberFormat="1" applyFont="1" applyBorder="1" applyAlignment="1">
      <alignment horizontal="center"/>
    </xf>
    <xf numFmtId="167" fontId="21" fillId="0" borderId="35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22" fillId="0" borderId="0" xfId="0" applyFont="1" applyAlignment="1">
      <alignment horizontal="centerContinuous" wrapText="1"/>
    </xf>
    <xf numFmtId="167" fontId="22" fillId="0" borderId="0" xfId="0" applyNumberFormat="1" applyFont="1"/>
    <xf numFmtId="167" fontId="22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1" fontId="23" fillId="0" borderId="0" xfId="0" applyNumberFormat="1" applyFont="1"/>
    <xf numFmtId="0" fontId="22" fillId="0" borderId="0" xfId="0" applyFont="1" applyAlignment="1">
      <alignment horizontal="center"/>
    </xf>
    <xf numFmtId="0" fontId="23" fillId="0" borderId="0" xfId="0" applyFont="1"/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/>
    </xf>
    <xf numFmtId="0" fontId="24" fillId="0" borderId="0" xfId="0" applyFont="1"/>
    <xf numFmtId="0" fontId="10" fillId="0" borderId="29" xfId="0" applyFont="1" applyBorder="1"/>
    <xf numFmtId="0" fontId="8" fillId="0" borderId="21" xfId="0" applyFont="1" applyBorder="1"/>
    <xf numFmtId="0" fontId="8" fillId="0" borderId="37" xfId="0" applyFont="1" applyBorder="1"/>
    <xf numFmtId="0" fontId="8" fillId="0" borderId="1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/>
    </xf>
    <xf numFmtId="0" fontId="25" fillId="0" borderId="38" xfId="0" applyFont="1" applyFill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0" fontId="25" fillId="0" borderId="21" xfId="0" applyFont="1" applyFill="1" applyBorder="1" applyAlignment="1">
      <alignment horizontal="center"/>
    </xf>
    <xf numFmtId="0" fontId="25" fillId="0" borderId="8" xfId="0" applyFont="1" applyFill="1" applyBorder="1" applyAlignment="1">
      <alignment horizontal="center"/>
    </xf>
    <xf numFmtId="0" fontId="25" fillId="3" borderId="40" xfId="0" applyFont="1" applyFill="1" applyBorder="1" applyAlignment="1">
      <alignment horizontal="center"/>
    </xf>
    <xf numFmtId="0" fontId="25" fillId="3" borderId="41" xfId="0" applyFont="1" applyFill="1" applyBorder="1" applyAlignment="1">
      <alignment horizontal="center"/>
    </xf>
    <xf numFmtId="0" fontId="2" fillId="0" borderId="10" xfId="0" applyFont="1" applyBorder="1" applyAlignment="1"/>
    <xf numFmtId="0" fontId="0" fillId="0" borderId="12" xfId="0" applyBorder="1" applyAlignment="1"/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0" fontId="6" fillId="0" borderId="1" xfId="0" applyFont="1" applyBorder="1" applyProtection="1">
      <protection locked="0"/>
    </xf>
    <xf numFmtId="0" fontId="2" fillId="5" borderId="1" xfId="0" applyFont="1" applyFill="1" applyBorder="1" applyProtection="1"/>
    <xf numFmtId="0" fontId="2" fillId="5" borderId="2" xfId="0" applyFont="1" applyFill="1" applyBorder="1" applyProtection="1"/>
    <xf numFmtId="0" fontId="6" fillId="5" borderId="29" xfId="0" applyFont="1" applyFill="1" applyBorder="1" applyProtection="1"/>
    <xf numFmtId="0" fontId="24" fillId="0" borderId="11" xfId="0" applyFont="1" applyBorder="1" applyAlignment="1" applyProtection="1">
      <alignment horizontal="left"/>
      <protection locked="0"/>
    </xf>
    <xf numFmtId="0" fontId="0" fillId="0" borderId="0" xfId="0" applyProtection="1"/>
    <xf numFmtId="0" fontId="4" fillId="0" borderId="0" xfId="0" applyFont="1"/>
    <xf numFmtId="0" fontId="2" fillId="0" borderId="21" xfId="0" applyFont="1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14" fontId="2" fillId="0" borderId="21" xfId="0" applyNumberFormat="1" applyFont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PERFIL PUNTAJE BRUTO</a:t>
            </a:r>
          </a:p>
        </c:rich>
      </c:tx>
      <c:layout>
        <c:manualLayout>
          <c:xMode val="edge"/>
          <c:yMode val="edge"/>
          <c:x val="0.3367144218534549"/>
          <c:y val="2.8985507246376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164382571214363E-2"/>
          <c:y val="0.1180126609663338"/>
          <c:w val="0.76267824016528285"/>
          <c:h val="0.797103060912956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'Ingreso Datos'!$Y$3:$Y$21</c:f>
              <c:strCache>
                <c:ptCount val="1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E</c:v>
                </c:pt>
                <c:pt idx="4">
                  <c:v>F</c:v>
                </c:pt>
                <c:pt idx="5">
                  <c:v>G</c:v>
                </c:pt>
                <c:pt idx="6">
                  <c:v>H</c:v>
                </c:pt>
                <c:pt idx="7">
                  <c:v>I</c:v>
                </c:pt>
                <c:pt idx="8">
                  <c:v>L</c:v>
                </c:pt>
                <c:pt idx="9">
                  <c:v>M</c:v>
                </c:pt>
                <c:pt idx="10">
                  <c:v>N</c:v>
                </c:pt>
                <c:pt idx="11">
                  <c:v>O</c:v>
                </c:pt>
                <c:pt idx="12">
                  <c:v>Q1</c:v>
                </c:pt>
                <c:pt idx="13">
                  <c:v>Q2</c:v>
                </c:pt>
                <c:pt idx="14">
                  <c:v>Q3</c:v>
                </c:pt>
                <c:pt idx="15">
                  <c:v>Q4</c:v>
                </c:pt>
                <c:pt idx="16">
                  <c:v>MI</c:v>
                </c:pt>
                <c:pt idx="17">
                  <c:v>IN</c:v>
                </c:pt>
                <c:pt idx="18">
                  <c:v>AQ</c:v>
                </c:pt>
              </c:strCache>
            </c:strRef>
          </c:cat>
          <c:val>
            <c:numRef>
              <c:f>'Ingreso Datos'!$Z$3:$Z$21</c:f>
              <c:numCache>
                <c:formatCode>General</c:formatCode>
                <c:ptCount val="19"/>
                <c:pt idx="0">
                  <c:v>16</c:v>
                </c:pt>
                <c:pt idx="1">
                  <c:v>7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20</c:v>
                </c:pt>
                <c:pt idx="6">
                  <c:v>2</c:v>
                </c:pt>
                <c:pt idx="7">
                  <c:v>9</c:v>
                </c:pt>
                <c:pt idx="8">
                  <c:v>16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5</c:v>
                </c:pt>
                <c:pt idx="16">
                  <c:v>8</c:v>
                </c:pt>
                <c:pt idx="17">
                  <c:v>1</c:v>
                </c:pt>
                <c:pt idx="18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5-471B-A9FE-FF448901D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2931583"/>
        <c:axId val="1"/>
      </c:barChart>
      <c:catAx>
        <c:axId val="2142931583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315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01834076014332"/>
          <c:y val="0.49689549675855738"/>
          <c:w val="0.11156207908088567"/>
          <c:h val="4.140786749482405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Y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436464088397788E-2"/>
          <c:y val="3.0120481927710843E-2"/>
          <c:w val="0.89226519337016574"/>
          <c:h val="0.9186746987951807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Resultados!$R$6:$R$21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D-48BC-80F5-83F42B24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4618287"/>
        <c:axId val="1"/>
      </c:barChart>
      <c:catAx>
        <c:axId val="2144618287"/>
        <c:scaling>
          <c:orientation val="minMax"/>
        </c:scaling>
        <c:delete val="1"/>
        <c:axPos val="l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2144618287"/>
        <c:crosses val="autoZero"/>
        <c:crossBetween val="between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orientation="landscape" horizontalDpi="-2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61369547576277E-2"/>
          <c:y val="0.10563416605058198"/>
          <c:w val="0.9176149092447583"/>
          <c:h val="0.795777384247717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E9A6-47C4-B37D-B55F13CFDED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9A6-47C4-B37D-B55F13CFDED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9A6-47C4-B37D-B55F13CFDED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9A6-47C4-B37D-B55F13CFDED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9A6-47C4-B37D-B55F13CFDED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9A6-47C4-B37D-B55F13CFDED7}"/>
              </c:ext>
            </c:extLst>
          </c:dPt>
          <c:val>
            <c:numRef>
              <c:f>Resultados!$R$22:$R$27</c:f>
              <c:numCache>
                <c:formatCode>General</c:formatCode>
                <c:ptCount val="6"/>
                <c:pt idx="0">
                  <c:v>4</c:v>
                </c:pt>
                <c:pt idx="1">
                  <c:v>6.7</c:v>
                </c:pt>
                <c:pt idx="2">
                  <c:v>2.6</c:v>
                </c:pt>
                <c:pt idx="3">
                  <c:v>5.7</c:v>
                </c:pt>
                <c:pt idx="4">
                  <c:v>5.0999999999999996</c:v>
                </c:pt>
                <c:pt idx="5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A6-47C4-B37D-B55F13CFD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44615887"/>
        <c:axId val="1"/>
      </c:barChart>
      <c:catAx>
        <c:axId val="2144615887"/>
        <c:scaling>
          <c:orientation val="minMax"/>
        </c:scaling>
        <c:delete val="1"/>
        <c:axPos val="l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21446158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</xdr:rowOff>
    </xdr:from>
    <xdr:to>
      <xdr:col>23</xdr:col>
      <xdr:colOff>171450</xdr:colOff>
      <xdr:row>46</xdr:row>
      <xdr:rowOff>66675</xdr:rowOff>
    </xdr:to>
    <xdr:graphicFrame macro="">
      <xdr:nvGraphicFramePr>
        <xdr:cNvPr id="1107" name="Chart 2">
          <a:extLst>
            <a:ext uri="{FF2B5EF4-FFF2-40B4-BE49-F238E27FC236}">
              <a16:creationId xmlns:a16="http://schemas.microsoft.com/office/drawing/2014/main" id="{03E20E8E-6DD6-6029-B937-03A00BDFA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31</xdr:row>
      <xdr:rowOff>171450</xdr:rowOff>
    </xdr:from>
    <xdr:to>
      <xdr:col>18</xdr:col>
      <xdr:colOff>171450</xdr:colOff>
      <xdr:row>48</xdr:row>
      <xdr:rowOff>152400</xdr:rowOff>
    </xdr:to>
    <xdr:graphicFrame macro="">
      <xdr:nvGraphicFramePr>
        <xdr:cNvPr id="2136" name="Chart 1">
          <a:extLst>
            <a:ext uri="{FF2B5EF4-FFF2-40B4-BE49-F238E27FC236}">
              <a16:creationId xmlns:a16="http://schemas.microsoft.com/office/drawing/2014/main" id="{E6A53CAA-338D-8942-59C8-F87D79E0D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238125</xdr:colOff>
      <xdr:row>49</xdr:row>
      <xdr:rowOff>152400</xdr:rowOff>
    </xdr:from>
    <xdr:to>
      <xdr:col>18</xdr:col>
      <xdr:colOff>76200</xdr:colOff>
      <xdr:row>56</xdr:row>
      <xdr:rowOff>133350</xdr:rowOff>
    </xdr:to>
    <xdr:graphicFrame macro="">
      <xdr:nvGraphicFramePr>
        <xdr:cNvPr id="2137" name="Chart 3">
          <a:extLst>
            <a:ext uri="{FF2B5EF4-FFF2-40B4-BE49-F238E27FC236}">
              <a16:creationId xmlns:a16="http://schemas.microsoft.com/office/drawing/2014/main" id="{F31E2E9C-355E-F223-9EFA-BF0E35B7D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D31D-00E6-4AC6-83F0-A7EE9815A779}">
  <dimension ref="A1:FI85"/>
  <sheetViews>
    <sheetView tabSelected="1" topLeftCell="U11" zoomScale="110" workbookViewId="0">
      <selection activeCell="X17" sqref="X17"/>
    </sheetView>
  </sheetViews>
  <sheetFormatPr defaultRowHeight="12.75" x14ac:dyDescent="0.15"/>
  <cols>
    <col min="1" max="12" width="2.6953125" customWidth="1"/>
    <col min="13" max="13" width="3.50390625" customWidth="1"/>
    <col min="14" max="14" width="2.6953125" customWidth="1"/>
    <col min="15" max="15" width="3.50390625" customWidth="1"/>
    <col min="16" max="16" width="2.96484375" customWidth="1"/>
    <col min="17" max="17" width="3.50390625" customWidth="1"/>
    <col min="18" max="18" width="2.6953125" customWidth="1"/>
    <col min="19" max="19" width="3.50390625" customWidth="1"/>
    <col min="20" max="20" width="2.6953125" customWidth="1"/>
    <col min="21" max="21" width="3.50390625" customWidth="1"/>
    <col min="22" max="22" width="2.6953125" customWidth="1"/>
    <col min="23" max="23" width="3.50390625" customWidth="1"/>
    <col min="24" max="24" width="2.6953125" customWidth="1"/>
    <col min="25" max="25" width="5.2578125" style="4" customWidth="1"/>
    <col min="26" max="26" width="3.50390625" customWidth="1"/>
    <col min="27" max="27" width="4.04296875" hidden="1" customWidth="1"/>
    <col min="28" max="28" width="3.7734375" hidden="1" customWidth="1"/>
    <col min="29" max="49" width="3.7734375" customWidth="1"/>
    <col min="50" max="79" width="2.96484375" customWidth="1"/>
    <col min="80" max="80" width="10.3828125" customWidth="1"/>
    <col min="81" max="81" width="5.93359375" customWidth="1"/>
    <col min="82" max="82" width="5.390625" customWidth="1"/>
    <col min="83" max="83" width="6.60546875" customWidth="1"/>
    <col min="84" max="84" width="5.93359375" customWidth="1"/>
    <col min="85" max="85" width="6.60546875" customWidth="1"/>
    <col min="86" max="86" width="5.93359375" customWidth="1"/>
    <col min="87" max="87" width="8.22265625" customWidth="1"/>
    <col min="88" max="88" width="7.68359375" customWidth="1"/>
    <col min="89" max="89" width="9.57421875" customWidth="1"/>
    <col min="90" max="90" width="9.03515625" customWidth="1"/>
    <col min="91" max="109" width="2.96484375" customWidth="1"/>
    <col min="110" max="256" width="11.4609375" customWidth="1"/>
  </cols>
  <sheetData>
    <row r="1" spans="1:79" ht="18.75" customHeight="1" thickBot="1" x14ac:dyDescent="0.2">
      <c r="D1" s="3"/>
      <c r="E1" s="3"/>
      <c r="F1" s="3"/>
      <c r="K1" s="4" t="s">
        <v>0</v>
      </c>
      <c r="AA1" s="25"/>
      <c r="BY1" t="s">
        <v>1</v>
      </c>
      <c r="BZ1" t="s">
        <v>1</v>
      </c>
      <c r="CA1" t="s">
        <v>1</v>
      </c>
    </row>
    <row r="2" spans="1:79" ht="11.25" customHeight="1" thickBot="1" x14ac:dyDescent="0.2">
      <c r="A2" s="204" t="s">
        <v>2</v>
      </c>
      <c r="B2" s="205"/>
      <c r="C2" s="132"/>
      <c r="D2" s="215" t="s">
        <v>137</v>
      </c>
      <c r="E2" s="216"/>
      <c r="F2" s="216"/>
      <c r="G2" s="216"/>
      <c r="H2" s="216"/>
      <c r="I2" s="217"/>
      <c r="L2" s="206" t="s">
        <v>3</v>
      </c>
      <c r="M2" s="105"/>
      <c r="N2" s="212" t="s">
        <v>8</v>
      </c>
      <c r="O2" s="188"/>
      <c r="P2" s="189"/>
      <c r="Q2" s="25"/>
      <c r="S2" s="207" t="s">
        <v>5</v>
      </c>
      <c r="T2" s="132"/>
      <c r="U2" s="218">
        <v>44792</v>
      </c>
      <c r="V2" s="219"/>
      <c r="W2" s="220"/>
      <c r="Y2" s="28" t="s">
        <v>6</v>
      </c>
      <c r="Z2" s="191" t="s">
        <v>7</v>
      </c>
      <c r="AA2" s="194" t="s">
        <v>8</v>
      </c>
      <c r="AB2" s="197" t="s">
        <v>4</v>
      </c>
      <c r="AC2" s="198" t="s">
        <v>9</v>
      </c>
    </row>
    <row r="3" spans="1:79" ht="13.5" thickBot="1" x14ac:dyDescent="0.2">
      <c r="A3" s="5">
        <v>1</v>
      </c>
      <c r="B3" s="208">
        <v>3</v>
      </c>
      <c r="C3" s="1">
        <v>17</v>
      </c>
      <c r="D3" s="208">
        <v>3</v>
      </c>
      <c r="E3" s="1">
        <v>33</v>
      </c>
      <c r="F3" s="208">
        <v>1</v>
      </c>
      <c r="G3" s="1">
        <v>49</v>
      </c>
      <c r="H3" s="208">
        <v>1</v>
      </c>
      <c r="I3" s="1">
        <v>65</v>
      </c>
      <c r="J3" s="208">
        <v>1</v>
      </c>
      <c r="K3" s="1">
        <v>81</v>
      </c>
      <c r="L3" s="208">
        <v>3</v>
      </c>
      <c r="M3" s="1">
        <v>97</v>
      </c>
      <c r="N3" s="208">
        <v>1</v>
      </c>
      <c r="O3" s="1">
        <v>113</v>
      </c>
      <c r="P3" s="208">
        <v>1</v>
      </c>
      <c r="Q3" s="1">
        <v>129</v>
      </c>
      <c r="R3" s="208">
        <v>1</v>
      </c>
      <c r="S3" s="1">
        <v>145</v>
      </c>
      <c r="T3" s="208">
        <v>3</v>
      </c>
      <c r="U3" s="1">
        <v>161</v>
      </c>
      <c r="V3" s="208">
        <v>1</v>
      </c>
      <c r="W3" s="1">
        <v>171</v>
      </c>
      <c r="X3" s="134">
        <v>2</v>
      </c>
      <c r="Y3" s="29" t="s">
        <v>10</v>
      </c>
      <c r="Z3" s="192">
        <f>(IF(B3&gt;0,B3-1))+(IF(J3&gt;0,J3-1))+(IF(H17&gt;0,H17-1))+(IF(N4&gt;0,N4-1))+(IF(R3&gt;0,R3-1))+(IF(D17&gt;0,(D17-3)*-1))+(IF(F3&gt;0,(F3-3)*-1))+(IF(L18&gt;0,(L18-3)*-1))+(IF(P17&gt;0,(P17-3)*-1))+(IF(T17&gt;0,(T17-3)*-1))+(IF(V3&gt;0,(V3-3)*-1))</f>
        <v>16</v>
      </c>
      <c r="AA3" s="195">
        <f>VLOOKUP(Z3,'Tabla Mujeres'!$B$7:$C$29,2,FALSE)</f>
        <v>5</v>
      </c>
      <c r="AB3" s="195">
        <f>VLOOKUP(Z3,'Tabla Varones'!$B$7:$C$29,2,FALSE)</f>
        <v>6</v>
      </c>
      <c r="AC3" s="199">
        <f>IF($N$2="F",AA3,AB3)</f>
        <v>5</v>
      </c>
    </row>
    <row r="4" spans="1:79" ht="13.5" thickBot="1" x14ac:dyDescent="0.2">
      <c r="A4" s="5">
        <v>2</v>
      </c>
      <c r="B4" s="133">
        <v>1</v>
      </c>
      <c r="C4" s="1">
        <v>18</v>
      </c>
      <c r="D4" s="133">
        <v>1</v>
      </c>
      <c r="E4" s="1">
        <v>34</v>
      </c>
      <c r="F4" s="133">
        <v>1</v>
      </c>
      <c r="G4" s="1">
        <v>50</v>
      </c>
      <c r="H4" s="133">
        <v>3</v>
      </c>
      <c r="I4" s="1">
        <v>66</v>
      </c>
      <c r="J4" s="133">
        <v>3</v>
      </c>
      <c r="K4" s="1">
        <v>82</v>
      </c>
      <c r="L4" s="133">
        <v>3</v>
      </c>
      <c r="M4" s="1">
        <v>98</v>
      </c>
      <c r="N4" s="133">
        <v>3</v>
      </c>
      <c r="O4" s="1">
        <v>114</v>
      </c>
      <c r="P4" s="133">
        <v>1</v>
      </c>
      <c r="Q4" s="1">
        <v>130</v>
      </c>
      <c r="R4" s="133">
        <v>1</v>
      </c>
      <c r="S4" s="1">
        <v>146</v>
      </c>
      <c r="T4" s="133">
        <v>3</v>
      </c>
      <c r="U4" s="1">
        <v>162</v>
      </c>
      <c r="V4" s="133">
        <v>3</v>
      </c>
      <c r="W4" s="1">
        <v>172</v>
      </c>
      <c r="X4" s="134">
        <v>2</v>
      </c>
      <c r="Y4" s="29" t="s">
        <v>11</v>
      </c>
      <c r="Z4" s="192">
        <f>(IF(X3=1,1))+(IF(X4=3,1))+(IF(X5=1,1))+(IF(X6=1,1))+(IF(X7=3,1))+(IF(X8=1,1))+(IF(X9=2,1))+(IF(X10=3,1))+(IF(X11=3,1))+(IF(X12=3,1))+(IF(X13=2,1))+(IF(X14=2,1))+(IF(X15=2,1))+(IF(X16=2,1))+(IF(X17=2,1))</f>
        <v>7</v>
      </c>
      <c r="AA4" s="195">
        <f>VLOOKUP(Z4,'Tabla Mujeres'!$D$7:$E$22,2,FALSE)</f>
        <v>3</v>
      </c>
      <c r="AB4" s="195">
        <f>VLOOKUP(Z4,'Tabla Varones'!$D$7:$E$22,2,FALSE)</f>
        <v>4</v>
      </c>
      <c r="AC4" s="199">
        <f t="shared" ref="AC4:AC18" si="0">IF($N$2="F",AA4,AB4)</f>
        <v>3</v>
      </c>
    </row>
    <row r="5" spans="1:79" ht="13.5" thickBot="1" x14ac:dyDescent="0.2">
      <c r="A5" s="5">
        <v>3</v>
      </c>
      <c r="B5" s="133">
        <v>3</v>
      </c>
      <c r="C5" s="1">
        <v>19</v>
      </c>
      <c r="D5" s="133">
        <v>3</v>
      </c>
      <c r="E5" s="1">
        <v>35</v>
      </c>
      <c r="F5" s="133">
        <v>3</v>
      </c>
      <c r="G5" s="1">
        <v>51</v>
      </c>
      <c r="H5" s="133">
        <v>1</v>
      </c>
      <c r="I5" s="1">
        <v>67</v>
      </c>
      <c r="J5" s="133">
        <v>1</v>
      </c>
      <c r="K5" s="1">
        <v>83</v>
      </c>
      <c r="L5" s="133">
        <v>1</v>
      </c>
      <c r="M5" s="1">
        <v>99</v>
      </c>
      <c r="N5" s="133">
        <v>1</v>
      </c>
      <c r="O5" s="1">
        <v>115</v>
      </c>
      <c r="P5" s="133">
        <v>1</v>
      </c>
      <c r="Q5" s="1">
        <v>131</v>
      </c>
      <c r="R5" s="133">
        <v>3</v>
      </c>
      <c r="S5" s="1">
        <v>147</v>
      </c>
      <c r="T5" s="133">
        <v>3</v>
      </c>
      <c r="U5" s="1">
        <v>163</v>
      </c>
      <c r="V5" s="133">
        <v>1</v>
      </c>
      <c r="W5" s="1">
        <v>173</v>
      </c>
      <c r="X5" s="134">
        <v>1</v>
      </c>
      <c r="Y5" s="29" t="s">
        <v>12</v>
      </c>
      <c r="Z5" s="192">
        <f>(IF(D18&gt;0,D18-1))+(IF(F5&gt;0,F5-1))+(IF(J5&gt;0,J5-1))+(IF(R5&gt;0,R5-1))+(IF(B4&gt;0,(B4-3)*-1))+(IF(H18&gt;0,(H18-3)*-1))+(IF(N3&gt;0,(N3-3)*-1))+(IF(P18&gt;0,(P18-3)*-1))+(IF(T18&gt;0,(T18-3)*-1))+(IF(V4&gt;0,(V4-3)*-1))</f>
        <v>10</v>
      </c>
      <c r="AA5" s="195">
        <f>VLOOKUP(Z5,'Tabla Mujeres'!$F$7:$G$27,2,FALSE)</f>
        <v>4</v>
      </c>
      <c r="AB5" s="195">
        <f>VLOOKUP(Z5,'Tabla Varones'!$F$7:$G$27,2,FALSE)</f>
        <v>3</v>
      </c>
      <c r="AC5" s="199">
        <f t="shared" si="0"/>
        <v>4</v>
      </c>
    </row>
    <row r="6" spans="1:79" ht="13.5" thickBot="1" x14ac:dyDescent="0.2">
      <c r="A6" s="5">
        <v>4</v>
      </c>
      <c r="B6" s="133">
        <v>3</v>
      </c>
      <c r="C6" s="1">
        <v>20</v>
      </c>
      <c r="D6" s="133">
        <v>1</v>
      </c>
      <c r="E6" s="1">
        <v>36</v>
      </c>
      <c r="F6" s="133">
        <v>1</v>
      </c>
      <c r="G6" s="1">
        <v>52</v>
      </c>
      <c r="H6" s="133">
        <v>3</v>
      </c>
      <c r="I6" s="1">
        <v>68</v>
      </c>
      <c r="J6" s="133">
        <v>3</v>
      </c>
      <c r="K6" s="1">
        <v>84</v>
      </c>
      <c r="L6" s="133">
        <v>3</v>
      </c>
      <c r="M6" s="1">
        <v>100</v>
      </c>
      <c r="N6" s="133">
        <v>1</v>
      </c>
      <c r="O6" s="1">
        <v>116</v>
      </c>
      <c r="P6" s="133">
        <v>1</v>
      </c>
      <c r="Q6" s="1">
        <v>132</v>
      </c>
      <c r="R6" s="133">
        <v>1</v>
      </c>
      <c r="S6" s="1">
        <v>148</v>
      </c>
      <c r="T6" s="133">
        <v>1</v>
      </c>
      <c r="U6" s="1">
        <v>164</v>
      </c>
      <c r="V6" s="133">
        <v>1</v>
      </c>
      <c r="W6" s="1">
        <v>174</v>
      </c>
      <c r="X6" s="134">
        <v>2</v>
      </c>
      <c r="Y6" s="29" t="s">
        <v>13</v>
      </c>
      <c r="Z6" s="192">
        <f>(IF(N8&gt;0,N8-1))+(IF(V5&gt;0,V5-1))+(IF(B5&gt;0,(B5-3)*-1))+(IF(F6&gt;0,(F6-3)*-1))+(IF(F8&gt;0,(F8-3)*-1))+(IF(J4&gt;0,(J4-3)*-1))+(IF(N5&gt;0,(N5-3)*-1))+(IF(R4&gt;0,(R4-3)*-1))+(IF(R6&gt;0,(R6-3)*-1))+(IF(V7&gt;0,(V7-3)*-1))</f>
        <v>8</v>
      </c>
      <c r="AA6" s="195">
        <f>VLOOKUP(Z6,'Tabla Mujeres'!$H$7:$I$27,2,FALSE)</f>
        <v>3</v>
      </c>
      <c r="AB6" s="195">
        <f>VLOOKUP(Z6,'Tabla Varones'!$H$7:$I$27,2,FALSE)</f>
        <v>2</v>
      </c>
      <c r="AC6" s="199">
        <f t="shared" si="0"/>
        <v>3</v>
      </c>
    </row>
    <row r="7" spans="1:79" ht="13.5" thickBot="1" x14ac:dyDescent="0.2">
      <c r="A7" s="5">
        <v>5</v>
      </c>
      <c r="B7" s="133">
        <v>1</v>
      </c>
      <c r="C7" s="1">
        <v>21</v>
      </c>
      <c r="D7" s="133">
        <v>1</v>
      </c>
      <c r="E7" s="1">
        <v>37</v>
      </c>
      <c r="F7" s="133">
        <v>1</v>
      </c>
      <c r="G7" s="1">
        <v>53</v>
      </c>
      <c r="H7" s="133">
        <v>3</v>
      </c>
      <c r="I7" s="1">
        <v>69</v>
      </c>
      <c r="J7" s="133">
        <v>1</v>
      </c>
      <c r="K7" s="1">
        <v>85</v>
      </c>
      <c r="L7" s="133">
        <v>1</v>
      </c>
      <c r="M7" s="1">
        <v>101</v>
      </c>
      <c r="N7" s="133">
        <v>1</v>
      </c>
      <c r="O7" s="1">
        <v>117</v>
      </c>
      <c r="P7" s="133">
        <v>1</v>
      </c>
      <c r="Q7" s="1">
        <v>133</v>
      </c>
      <c r="R7" s="133">
        <v>3</v>
      </c>
      <c r="S7" s="1">
        <v>149</v>
      </c>
      <c r="T7" s="133">
        <v>1</v>
      </c>
      <c r="U7" s="1">
        <v>165</v>
      </c>
      <c r="V7" s="133">
        <v>3</v>
      </c>
      <c r="W7" s="1">
        <v>175</v>
      </c>
      <c r="X7" s="134">
        <v>3</v>
      </c>
      <c r="Y7" s="29" t="s">
        <v>8</v>
      </c>
      <c r="Z7" s="192">
        <f>(IF(B8&gt;0,B8-1))+(IF(F7&gt;0,F7-1))+(IF(J8&gt;0,J8-1))+(IF(V6&gt;0,V6-1))+(IF(B6&gt;0,(B6-3)*-1))+(IF(F9&gt;0,(F9-3)*-1))+(IF(J6&gt;0,(J6-3)*-1))+(IF(N6&gt;0,(N6-3)*-1))+(IF(N9&gt;0,(N9-3)*-1))+(IF(R8&gt;0,(R8-3)*-1))</f>
        <v>10</v>
      </c>
      <c r="AA7" s="195">
        <f>VLOOKUP(Z7,'Tabla Mujeres'!$J$7:$K$27,2,FALSE)</f>
        <v>4</v>
      </c>
      <c r="AB7" s="195">
        <f>VLOOKUP(Z7,'Tabla Varones'!$J$7:$K$27,2,FALSE)</f>
        <v>4</v>
      </c>
      <c r="AC7" s="199">
        <f t="shared" si="0"/>
        <v>4</v>
      </c>
    </row>
    <row r="8" spans="1:79" ht="13.5" thickBot="1" x14ac:dyDescent="0.2">
      <c r="A8" s="5">
        <v>6</v>
      </c>
      <c r="B8" s="133">
        <v>3</v>
      </c>
      <c r="C8" s="1">
        <v>22</v>
      </c>
      <c r="D8" s="133">
        <v>3</v>
      </c>
      <c r="E8" s="1">
        <v>38</v>
      </c>
      <c r="F8" s="133">
        <v>3</v>
      </c>
      <c r="G8" s="1">
        <v>54</v>
      </c>
      <c r="H8" s="133">
        <v>3</v>
      </c>
      <c r="I8" s="1">
        <v>70</v>
      </c>
      <c r="J8" s="133">
        <v>1</v>
      </c>
      <c r="K8" s="1">
        <v>86</v>
      </c>
      <c r="L8" s="133">
        <v>3</v>
      </c>
      <c r="M8" s="1">
        <v>102</v>
      </c>
      <c r="N8" s="133">
        <v>1</v>
      </c>
      <c r="O8" s="1">
        <v>118</v>
      </c>
      <c r="P8" s="133">
        <v>1</v>
      </c>
      <c r="Q8" s="1">
        <v>134</v>
      </c>
      <c r="R8" s="133">
        <v>1</v>
      </c>
      <c r="S8" s="1">
        <v>150</v>
      </c>
      <c r="T8" s="133">
        <v>1</v>
      </c>
      <c r="U8" s="1">
        <v>166</v>
      </c>
      <c r="V8" s="133">
        <v>1</v>
      </c>
      <c r="W8" s="1">
        <v>176</v>
      </c>
      <c r="X8" s="134">
        <v>3</v>
      </c>
      <c r="Y8" s="29" t="s">
        <v>14</v>
      </c>
      <c r="Z8" s="192">
        <f>(IF(J10&gt;0,J10-1))+(IF(N12&gt;0,N12-1))+(IF(R7&gt;0,R7-1))+(IF(R10&gt;0,R10-1))+(IF(V8&gt;0,V8-1))+(IF(B7&gt;0,(B7-3)*-1))+(IF(B9&gt;0,(B9-3)*-1))+(IF(F10&gt;0,(F10-3)*-1))+(IF(J7&gt;0,(J7-3)*-1))+(IF(N10&gt;0,(N10-3)*-1))+(IF(V10&gt;0,(V10-3)*-1))</f>
        <v>20</v>
      </c>
      <c r="AA8" s="195">
        <f>VLOOKUP(Z8,'Tabla Mujeres'!$L$7:$M$29,2,FALSE)</f>
        <v>8</v>
      </c>
      <c r="AB8" s="195">
        <f>VLOOKUP(Z8,'Tabla Varones'!$L$7:$M$29,2,FALSE)</f>
        <v>7</v>
      </c>
      <c r="AC8" s="199">
        <f t="shared" si="0"/>
        <v>8</v>
      </c>
    </row>
    <row r="9" spans="1:79" ht="13.5" thickBot="1" x14ac:dyDescent="0.2">
      <c r="A9" s="5">
        <v>7</v>
      </c>
      <c r="B9" s="133">
        <v>1</v>
      </c>
      <c r="C9" s="1">
        <v>23</v>
      </c>
      <c r="D9" s="133">
        <v>1</v>
      </c>
      <c r="E9" s="1">
        <v>39</v>
      </c>
      <c r="F9" s="133">
        <v>1</v>
      </c>
      <c r="G9" s="1">
        <v>55</v>
      </c>
      <c r="H9" s="133">
        <v>1</v>
      </c>
      <c r="I9" s="1">
        <v>71</v>
      </c>
      <c r="J9" s="133">
        <v>1</v>
      </c>
      <c r="K9" s="1">
        <v>87</v>
      </c>
      <c r="L9" s="133">
        <v>1</v>
      </c>
      <c r="M9" s="1">
        <v>103</v>
      </c>
      <c r="N9" s="133">
        <v>1</v>
      </c>
      <c r="O9" s="1">
        <v>119</v>
      </c>
      <c r="P9" s="133">
        <v>3</v>
      </c>
      <c r="Q9" s="1">
        <v>135</v>
      </c>
      <c r="R9" s="133">
        <v>3</v>
      </c>
      <c r="S9" s="1">
        <v>151</v>
      </c>
      <c r="T9" s="133">
        <v>1</v>
      </c>
      <c r="U9" s="1">
        <v>167</v>
      </c>
      <c r="V9" s="133">
        <v>1</v>
      </c>
      <c r="W9" s="1">
        <v>177</v>
      </c>
      <c r="X9" s="134">
        <v>2</v>
      </c>
      <c r="Y9" s="29" t="s">
        <v>15</v>
      </c>
      <c r="Z9" s="192">
        <f>(IF(F11&gt;0,F11-1))+(IF(J9&gt;0,J9-1))+(IF(N11&gt;0,N11-1))+(IF(N13&gt;0,N13-1))+(IF(V9&gt;0,V9-1))+(IF(V11&gt;0,V11-1))+(IF(B11&gt;0,(B11-3)*-1))+(IF(J11&gt;0,(J11-3)*-1))+(IF(R9&gt;0,(R9-3)*-1))+(IF(R11&gt;0,(R11-3)*-1))</f>
        <v>2</v>
      </c>
      <c r="AA9" s="195">
        <f>VLOOKUP(Z9,'Tabla Mujeres'!$N$7:$O$27,2,FALSE)</f>
        <v>3</v>
      </c>
      <c r="AB9" s="195">
        <f>VLOOKUP(Z9,'Tabla Varones'!$N$7:$O$27,2,FALSE)</f>
        <v>2</v>
      </c>
      <c r="AC9" s="199">
        <f t="shared" si="0"/>
        <v>3</v>
      </c>
    </row>
    <row r="10" spans="1:79" ht="13.5" thickBot="1" x14ac:dyDescent="0.2">
      <c r="A10" s="5">
        <v>8</v>
      </c>
      <c r="B10" s="133">
        <v>2</v>
      </c>
      <c r="C10" s="1">
        <v>24</v>
      </c>
      <c r="D10" s="133">
        <v>1</v>
      </c>
      <c r="E10" s="1">
        <v>40</v>
      </c>
      <c r="F10" s="133">
        <v>1</v>
      </c>
      <c r="G10" s="1">
        <v>56</v>
      </c>
      <c r="H10" s="133">
        <v>1</v>
      </c>
      <c r="I10" s="1">
        <v>72</v>
      </c>
      <c r="J10" s="133">
        <v>3</v>
      </c>
      <c r="K10" s="1">
        <v>88</v>
      </c>
      <c r="L10" s="133">
        <v>3</v>
      </c>
      <c r="M10" s="1">
        <v>104</v>
      </c>
      <c r="N10" s="133">
        <v>1</v>
      </c>
      <c r="O10" s="1">
        <v>120</v>
      </c>
      <c r="P10" s="133">
        <v>2</v>
      </c>
      <c r="Q10" s="1">
        <v>136</v>
      </c>
      <c r="R10" s="133">
        <v>3</v>
      </c>
      <c r="S10" s="1">
        <v>152</v>
      </c>
      <c r="T10" s="133">
        <v>1</v>
      </c>
      <c r="U10" s="1">
        <v>168</v>
      </c>
      <c r="V10" s="133">
        <v>1</v>
      </c>
      <c r="W10" s="1">
        <v>178</v>
      </c>
      <c r="X10" s="134">
        <v>3</v>
      </c>
      <c r="Y10" s="29" t="s">
        <v>16</v>
      </c>
      <c r="Z10" s="192">
        <f>(IF(B8&gt;0,B10-1))+(IF(N16&gt;0,N16-1))+(IF(R12&gt;0,R12-1))+(IF(R14&gt;0,R14-1))+(IF(V12&gt;0,V12-1))+(IF(B12&gt;0,(B12-3)*-1))+(IF(F12&gt;0,(F12-3)*-1))+(IF(F14&gt;0,(F14-3)*-1))+(IF(J12&gt;0,(J12-3)*-1))+(IF(J15&gt;0,(J15-3)*-1))+(IF(N14&gt;0,(N14-3)*-1))</f>
        <v>9</v>
      </c>
      <c r="AA10" s="195">
        <f>VLOOKUP(Z10,'Tabla Mujeres'!$P$7:$Q$29,2,FALSE)</f>
        <v>4</v>
      </c>
      <c r="AB10" s="195">
        <f>VLOOKUP(Z10,'Tabla Varones'!$P$7:$Q$29,2,FALSE)</f>
        <v>6</v>
      </c>
      <c r="AC10" s="199">
        <f t="shared" si="0"/>
        <v>4</v>
      </c>
    </row>
    <row r="11" spans="1:79" ht="13.5" thickBot="1" x14ac:dyDescent="0.2">
      <c r="A11" s="5">
        <v>9</v>
      </c>
      <c r="B11" s="133">
        <v>1</v>
      </c>
      <c r="C11" s="1">
        <v>25</v>
      </c>
      <c r="D11" s="133">
        <v>3</v>
      </c>
      <c r="E11" s="1">
        <v>41</v>
      </c>
      <c r="F11" s="133">
        <v>1</v>
      </c>
      <c r="G11" s="1">
        <v>57</v>
      </c>
      <c r="H11" s="133">
        <v>1</v>
      </c>
      <c r="I11" s="1">
        <v>73</v>
      </c>
      <c r="J11" s="133">
        <v>3</v>
      </c>
      <c r="K11" s="1">
        <v>89</v>
      </c>
      <c r="L11" s="133">
        <v>1</v>
      </c>
      <c r="M11" s="1">
        <v>105</v>
      </c>
      <c r="N11" s="133">
        <v>1</v>
      </c>
      <c r="O11" s="1">
        <v>121</v>
      </c>
      <c r="P11" s="133">
        <v>3</v>
      </c>
      <c r="Q11" s="1">
        <v>137</v>
      </c>
      <c r="R11" s="133">
        <v>3</v>
      </c>
      <c r="S11" s="1">
        <v>153</v>
      </c>
      <c r="T11" s="133">
        <v>1</v>
      </c>
      <c r="U11" s="1">
        <v>169</v>
      </c>
      <c r="V11" s="133">
        <v>1</v>
      </c>
      <c r="W11" s="1">
        <v>179</v>
      </c>
      <c r="X11" s="134">
        <v>3</v>
      </c>
      <c r="Y11" s="29" t="s">
        <v>17</v>
      </c>
      <c r="Z11" s="192">
        <f>(IF(F15&gt;0,F15-1))+(IF(J16&gt;0,J16-1))+(IF(N15&gt;0,N15-1))+(IF(R13&gt;0,R13-1))+(IF(B13&gt;0,(B13-3)*-1))+(IF(B15&gt;0,(B15-3)*-1))+(IF(F13&gt;0,(F13-3)*-1))+(IF(J14&gt;0,(J14-3)*-1))+(IF(N18&gt;0,(N18-3)*-1))+(IF(R15&gt;0,(R15-3)*-1))</f>
        <v>16</v>
      </c>
      <c r="AA11" s="195">
        <f>VLOOKUP(Z11,'Tabla Mujeres'!$R$7:$S$27,2,FALSE)</f>
        <v>7</v>
      </c>
      <c r="AB11" s="195">
        <f>VLOOKUP(Z11,'Tabla Varones'!$R$7:$S$27,2,FALSE)</f>
        <v>8</v>
      </c>
      <c r="AC11" s="199">
        <f t="shared" si="0"/>
        <v>7</v>
      </c>
    </row>
    <row r="12" spans="1:79" ht="13.5" thickBot="1" x14ac:dyDescent="0.2">
      <c r="A12" s="5">
        <v>10</v>
      </c>
      <c r="B12" s="133">
        <v>1</v>
      </c>
      <c r="C12" s="1">
        <v>26</v>
      </c>
      <c r="D12" s="133">
        <v>3</v>
      </c>
      <c r="E12" s="1">
        <v>42</v>
      </c>
      <c r="F12" s="133">
        <v>3</v>
      </c>
      <c r="G12" s="1">
        <v>58</v>
      </c>
      <c r="H12" s="133">
        <v>3</v>
      </c>
      <c r="I12" s="1">
        <v>74</v>
      </c>
      <c r="J12" s="133">
        <v>3</v>
      </c>
      <c r="K12" s="1">
        <v>90</v>
      </c>
      <c r="L12" s="133">
        <v>3</v>
      </c>
      <c r="M12" s="1">
        <v>106</v>
      </c>
      <c r="N12" s="133">
        <v>3</v>
      </c>
      <c r="O12" s="1">
        <v>122</v>
      </c>
      <c r="P12" s="133">
        <v>3</v>
      </c>
      <c r="Q12" s="1">
        <v>138</v>
      </c>
      <c r="R12" s="133">
        <v>1</v>
      </c>
      <c r="S12" s="1">
        <v>154</v>
      </c>
      <c r="T12" s="133">
        <v>3</v>
      </c>
      <c r="U12" s="1">
        <v>170</v>
      </c>
      <c r="V12" s="133">
        <v>1</v>
      </c>
      <c r="W12" s="1">
        <v>180</v>
      </c>
      <c r="X12" s="134">
        <v>3</v>
      </c>
      <c r="Y12" s="29" t="s">
        <v>4</v>
      </c>
      <c r="Z12" s="192">
        <f>(IF(D3&gt;0,D3-1))+(IF(F16&gt;0,F16-1))+(IF(H3&gt;0,H3-1))+(IF(L3&gt;0,L3-1))+(IF(P4&gt;0,P4-1))+(IF(B14&gt;0,(B14-3)*-1))+(IF(B16&gt;0,(B16-3)*-1))+(IF(J17&gt;0,(J17-3)*-1))+(IF(N17&gt;0,(N17-3)*-1))+(IF(R16&gt;0,(R16-3)*-1))+(IF(T3&gt;0,(T3-3)*-1))</f>
        <v>12</v>
      </c>
      <c r="AA12" s="195">
        <f>VLOOKUP(Z12,'Tabla Mujeres'!$T$7:$U$29,2,FALSE)</f>
        <v>7</v>
      </c>
      <c r="AB12" s="195">
        <f>VLOOKUP(Z12,'Tabla Varones'!$T$7:$U$29,2,FALSE)</f>
        <v>8</v>
      </c>
      <c r="AC12" s="199">
        <f t="shared" si="0"/>
        <v>7</v>
      </c>
    </row>
    <row r="13" spans="1:79" ht="13.5" thickBot="1" x14ac:dyDescent="0.2">
      <c r="A13" s="5">
        <v>11</v>
      </c>
      <c r="B13" s="133">
        <v>1</v>
      </c>
      <c r="C13" s="1">
        <v>27</v>
      </c>
      <c r="D13" s="133">
        <v>3</v>
      </c>
      <c r="E13" s="1">
        <v>43</v>
      </c>
      <c r="F13" s="133">
        <v>1</v>
      </c>
      <c r="G13" s="1">
        <v>59</v>
      </c>
      <c r="H13" s="133">
        <v>1</v>
      </c>
      <c r="I13" s="1">
        <v>75</v>
      </c>
      <c r="J13" s="133">
        <v>1</v>
      </c>
      <c r="K13" s="1">
        <v>91</v>
      </c>
      <c r="L13" s="133">
        <v>1</v>
      </c>
      <c r="M13" s="1">
        <v>107</v>
      </c>
      <c r="N13" s="133">
        <v>1</v>
      </c>
      <c r="O13" s="1">
        <v>123</v>
      </c>
      <c r="P13" s="133">
        <v>3</v>
      </c>
      <c r="Q13" s="1">
        <v>139</v>
      </c>
      <c r="R13" s="133">
        <v>1</v>
      </c>
      <c r="S13" s="1">
        <v>155</v>
      </c>
      <c r="T13" s="133">
        <v>3</v>
      </c>
      <c r="U13" s="209"/>
      <c r="V13" s="209">
        <v>3</v>
      </c>
      <c r="W13" s="1">
        <v>181</v>
      </c>
      <c r="X13" s="134">
        <v>3</v>
      </c>
      <c r="Y13" s="29" t="s">
        <v>18</v>
      </c>
      <c r="Z13" s="192">
        <f>(IF(B17&gt;0,B17-1))+(IF(D4&gt;0,D4-1))+(IF(L6&gt;0,L6-1))+(IF(P7&gt;0,P7-1))+(IF(F17&gt;0,(F17-3)*-1))+(IF(H4&gt;0,(H4-3)*-1))+(IF(J18&gt;0,(J18-3)*-1))+(IF(P3&gt;0,(P3-3)*-1))+(IF(R17&gt;0,(R17-3)*-1))+(IF(T6&gt;0,(T6-3)*-1))</f>
        <v>12</v>
      </c>
      <c r="AA13" s="195">
        <f>VLOOKUP(Z13,'Tabla Mujeres'!$V$7:$W$27,2,FALSE)</f>
        <v>6</v>
      </c>
      <c r="AB13" s="195">
        <f>VLOOKUP(Z13,'Tabla Varones'!$V$7:$W$27,2,FALSE)</f>
        <v>6</v>
      </c>
      <c r="AC13" s="199">
        <f t="shared" si="0"/>
        <v>6</v>
      </c>
    </row>
    <row r="14" spans="1:79" ht="13.5" thickBot="1" x14ac:dyDescent="0.2">
      <c r="A14" s="5">
        <v>12</v>
      </c>
      <c r="B14" s="133">
        <v>3</v>
      </c>
      <c r="C14" s="1">
        <v>28</v>
      </c>
      <c r="D14" s="133">
        <v>3</v>
      </c>
      <c r="E14" s="1">
        <v>44</v>
      </c>
      <c r="F14" s="133">
        <v>1</v>
      </c>
      <c r="G14" s="1">
        <v>60</v>
      </c>
      <c r="H14" s="133">
        <v>1</v>
      </c>
      <c r="I14" s="1">
        <v>76</v>
      </c>
      <c r="J14" s="133">
        <v>3</v>
      </c>
      <c r="K14" s="1">
        <v>92</v>
      </c>
      <c r="L14" s="133">
        <v>3</v>
      </c>
      <c r="M14" s="1">
        <v>108</v>
      </c>
      <c r="N14" s="133">
        <v>3</v>
      </c>
      <c r="O14" s="1">
        <v>124</v>
      </c>
      <c r="P14" s="133">
        <v>1</v>
      </c>
      <c r="Q14" s="1">
        <v>140</v>
      </c>
      <c r="R14" s="133">
        <v>1</v>
      </c>
      <c r="S14" s="1">
        <v>156</v>
      </c>
      <c r="T14" s="133">
        <v>3</v>
      </c>
      <c r="U14" s="209"/>
      <c r="V14" s="209">
        <v>1</v>
      </c>
      <c r="W14" s="1">
        <v>182</v>
      </c>
      <c r="X14" s="134">
        <v>2</v>
      </c>
      <c r="Y14" s="29" t="s">
        <v>19</v>
      </c>
      <c r="Z14" s="192">
        <f>(IF(D5&gt;0,D5-1))+(IF(D7&gt;0,D7-1))+(IF(L4&gt;0,L4-1))+(IF(P9&gt;0,P9-1))+(IF(H5&gt;0,(H5-3)*-1))+(IF(H8&gt;0,(H8-3)*-1))+(IF(L9&gt;0,(L9-3)*-1))+(IF(P6&gt;0,(P6-3)*-1))+(IF(T4&gt;0,(T4-3)*-1))+(IF(T8&gt;0,(T8-3)*-1))</f>
        <v>14</v>
      </c>
      <c r="AA14" s="195">
        <f>VLOOKUP(Z14,'Tabla Mujeres'!$X$7:$Y$27,2,FALSE)</f>
        <v>6</v>
      </c>
      <c r="AB14" s="195">
        <f>VLOOKUP(Z14,'Tabla Varones'!$X$7:$Y$27,2,FALSE)</f>
        <v>7</v>
      </c>
      <c r="AC14" s="199">
        <f t="shared" si="0"/>
        <v>6</v>
      </c>
    </row>
    <row r="15" spans="1:79" ht="13.5" thickBot="1" x14ac:dyDescent="0.2">
      <c r="A15" s="5">
        <v>13</v>
      </c>
      <c r="B15" s="133">
        <v>1</v>
      </c>
      <c r="C15" s="1">
        <v>29</v>
      </c>
      <c r="D15" s="133">
        <v>3</v>
      </c>
      <c r="E15" s="1">
        <v>45</v>
      </c>
      <c r="F15" s="133">
        <v>3</v>
      </c>
      <c r="G15" s="1">
        <v>61</v>
      </c>
      <c r="H15" s="133">
        <v>3</v>
      </c>
      <c r="I15" s="1">
        <v>77</v>
      </c>
      <c r="J15" s="133">
        <v>1</v>
      </c>
      <c r="K15" s="1">
        <v>93</v>
      </c>
      <c r="L15" s="133">
        <v>1</v>
      </c>
      <c r="M15" s="1">
        <v>109</v>
      </c>
      <c r="N15" s="133">
        <v>3</v>
      </c>
      <c r="O15" s="1">
        <v>125</v>
      </c>
      <c r="P15" s="133">
        <v>1</v>
      </c>
      <c r="Q15" s="1">
        <v>141</v>
      </c>
      <c r="R15" s="133">
        <v>1</v>
      </c>
      <c r="S15" s="1">
        <v>157</v>
      </c>
      <c r="T15" s="133">
        <v>3</v>
      </c>
      <c r="U15" s="209"/>
      <c r="V15" s="209">
        <v>3</v>
      </c>
      <c r="W15" s="1">
        <v>183</v>
      </c>
      <c r="X15" s="134">
        <v>3</v>
      </c>
      <c r="Y15" s="29" t="s">
        <v>20</v>
      </c>
      <c r="Z15" s="192">
        <f>(IF(D10&gt;0,D10-1))+(IF(H6&gt;0,H6-1))+(IF(H9&gt;0,H9-1))+(IF(L8&gt;0,L8-1))+(IF(T5&gt;0,T5-1))+(IF(T9&gt;0,T9-1))+(IF(D6&gt;0,(D6-3)*-1))+(IF(D8&gt;0,(D8-3)*-1))+(IF(H7&gt;0,(H7-3)*-1))+(IF(L5&gt;0,(L5-3)*-1))+(IF(L10&gt;0,(L10-3)*-1))+(IF(P8&gt;0,(P8-3)*-1))+(IF(P10&gt;0,(P10-3)*-1))+(IF(T7&gt;0,(T7-3)*-1))</f>
        <v>15</v>
      </c>
      <c r="AA15" s="195">
        <f>VLOOKUP(Z15,'Tabla Mujeres'!$Z$7:$AA$35,2,FALSE)</f>
        <v>5</v>
      </c>
      <c r="AB15" s="195">
        <f>VLOOKUP(Z15,'Tabla Varones'!$Z$7:$AA$35,2,FALSE)</f>
        <v>6</v>
      </c>
      <c r="AC15" s="199">
        <f t="shared" si="0"/>
        <v>5</v>
      </c>
    </row>
    <row r="16" spans="1:79" ht="13.5" thickBot="1" x14ac:dyDescent="0.2">
      <c r="A16" s="5">
        <v>14</v>
      </c>
      <c r="B16" s="133">
        <v>3</v>
      </c>
      <c r="C16" s="1">
        <v>30</v>
      </c>
      <c r="D16" s="133">
        <v>2</v>
      </c>
      <c r="E16" s="1">
        <v>46</v>
      </c>
      <c r="F16" s="133">
        <v>3</v>
      </c>
      <c r="G16" s="1">
        <v>62</v>
      </c>
      <c r="H16" s="133">
        <v>1</v>
      </c>
      <c r="I16" s="1">
        <v>78</v>
      </c>
      <c r="J16" s="133">
        <v>3</v>
      </c>
      <c r="K16" s="1">
        <v>94</v>
      </c>
      <c r="L16" s="133">
        <v>1</v>
      </c>
      <c r="M16" s="1">
        <v>110</v>
      </c>
      <c r="N16" s="133">
        <v>3</v>
      </c>
      <c r="O16" s="1">
        <v>126</v>
      </c>
      <c r="P16" s="133">
        <v>3</v>
      </c>
      <c r="Q16" s="1">
        <v>142</v>
      </c>
      <c r="R16" s="133">
        <v>1</v>
      </c>
      <c r="S16" s="1">
        <v>158</v>
      </c>
      <c r="T16" s="133">
        <v>1</v>
      </c>
      <c r="U16" s="209"/>
      <c r="V16" s="209"/>
      <c r="W16" s="1">
        <v>184</v>
      </c>
      <c r="X16" s="134">
        <v>1</v>
      </c>
      <c r="Y16" s="29" t="s">
        <v>21</v>
      </c>
      <c r="Z16" s="192">
        <f>(IF(D11&gt;0,D11-1))+(IF(H10&gt;0,H10-1))+(IF(L14&gt;0,L14-1))+(IF(P13&gt;0,P13-1))+(IF(T14&gt;0,T14-1))+(IF(D13&gt;0,(D13-3)*-1))+(IF(H13&gt;0,(H13-3)*-1))+(IF(L11&gt;0,(L11-3)*-1))+(IF(P11&gt;0,(P11-3)*-1))+(IF(T10&gt;0,(T10-3)*-1))</f>
        <v>14</v>
      </c>
      <c r="AA16" s="195">
        <f>VLOOKUP(Z16,'Tabla Mujeres'!$AB$7:$AC$27,2,FALSE)</f>
        <v>9</v>
      </c>
      <c r="AB16" s="195">
        <f>VLOOKUP(Z16,'Tabla Varones'!$AB$7:$AC$27,2,FALSE)</f>
        <v>9</v>
      </c>
      <c r="AC16" s="199">
        <f t="shared" si="0"/>
        <v>9</v>
      </c>
    </row>
    <row r="17" spans="1:165" ht="13.5" thickBot="1" x14ac:dyDescent="0.2">
      <c r="A17" s="5">
        <v>15</v>
      </c>
      <c r="B17" s="133">
        <v>1</v>
      </c>
      <c r="C17" s="1">
        <v>31</v>
      </c>
      <c r="D17" s="133">
        <v>1</v>
      </c>
      <c r="E17" s="1">
        <v>47</v>
      </c>
      <c r="F17" s="133">
        <v>1</v>
      </c>
      <c r="G17" s="1">
        <v>63</v>
      </c>
      <c r="H17" s="133">
        <v>3</v>
      </c>
      <c r="I17" s="1">
        <v>79</v>
      </c>
      <c r="J17" s="133">
        <v>1</v>
      </c>
      <c r="K17" s="1">
        <v>95</v>
      </c>
      <c r="L17" s="133">
        <v>3</v>
      </c>
      <c r="M17" s="1">
        <v>111</v>
      </c>
      <c r="N17" s="133">
        <v>1</v>
      </c>
      <c r="O17" s="1">
        <v>127</v>
      </c>
      <c r="P17" s="133">
        <v>1</v>
      </c>
      <c r="Q17" s="1">
        <v>143</v>
      </c>
      <c r="R17" s="133">
        <v>1</v>
      </c>
      <c r="S17" s="1">
        <v>159</v>
      </c>
      <c r="T17" s="133">
        <v>3</v>
      </c>
      <c r="U17" s="209">
        <v>3</v>
      </c>
      <c r="V17" s="209"/>
      <c r="W17" s="1">
        <v>185</v>
      </c>
      <c r="X17" s="134"/>
      <c r="Y17" s="29" t="s">
        <v>22</v>
      </c>
      <c r="Z17" s="192">
        <f>(IF(D12&gt;0,D12-1))+(IF(D15&gt;0,D15-1))+(IF(H11&gt;0,H11-1))+(IF(L12&gt;0,L12-1))+(IF(P12&gt;0,P12-1))+(IF(T12&gt;0,T12-1))+(IF(H15&gt;0,(H15-3)*-1))+(IF(L15&gt;0,(L15-3)*-1))+(IF(P15&gt;0,(P15-3)*-1))+(IF(T15&gt;0,(T15-3)*-1))</f>
        <v>14</v>
      </c>
      <c r="AA17" s="195">
        <f>VLOOKUP(Z17,'Tabla Mujeres'!$AD$7:$AE$27,2,FALSE)</f>
        <v>5</v>
      </c>
      <c r="AB17" s="200">
        <f>VLOOKUP(Z17,'Tabla Varones'!$AD$7:$AE$27,2,FALSE)</f>
        <v>4</v>
      </c>
      <c r="AC17" s="199">
        <f t="shared" si="0"/>
        <v>5</v>
      </c>
    </row>
    <row r="18" spans="1:165" ht="13.5" thickBot="1" x14ac:dyDescent="0.2">
      <c r="A18" s="6">
        <v>16</v>
      </c>
      <c r="B18" s="133">
        <v>3</v>
      </c>
      <c r="C18" s="2">
        <v>32</v>
      </c>
      <c r="D18" s="133">
        <v>3</v>
      </c>
      <c r="E18" s="2">
        <v>48</v>
      </c>
      <c r="F18" s="133">
        <v>1</v>
      </c>
      <c r="G18" s="2">
        <v>64</v>
      </c>
      <c r="H18" s="133">
        <v>3</v>
      </c>
      <c r="I18" s="2">
        <v>80</v>
      </c>
      <c r="J18" s="133">
        <v>1</v>
      </c>
      <c r="K18" s="2">
        <v>96</v>
      </c>
      <c r="L18" s="133">
        <v>1</v>
      </c>
      <c r="M18" s="2">
        <v>112</v>
      </c>
      <c r="N18" s="133">
        <v>1</v>
      </c>
      <c r="O18" s="2">
        <v>128</v>
      </c>
      <c r="P18" s="133">
        <v>3</v>
      </c>
      <c r="Q18" s="2">
        <v>144</v>
      </c>
      <c r="R18" s="133">
        <v>1</v>
      </c>
      <c r="S18" s="1">
        <v>160</v>
      </c>
      <c r="T18" s="133">
        <v>3</v>
      </c>
      <c r="U18" s="210"/>
      <c r="V18" s="210"/>
      <c r="W18" s="209"/>
      <c r="X18" s="211"/>
      <c r="Y18" s="29" t="s">
        <v>23</v>
      </c>
      <c r="Z18" s="192">
        <f>(IF(H14&gt;0,H14-1))+(IF(L13&gt;0,L13-1))+(IF(L16&gt;0,L16-1))+(IF(P14&gt;0,P14-1))+(IF(D14&gt;0,(D14-3)*-1))+(IF(D16&gt;0,(D16-3)*-1))+(IF(H16&gt;0,(H16-3)*-1))+(IF(P16&gt;0,(P16-3)*-1))+(IF(T13&gt;0,(T13-3)*-1))+(IF(T16&gt;0,(T16-3)*-1))</f>
        <v>5</v>
      </c>
      <c r="AA18" s="195">
        <f>VLOOKUP(Z18,'Tabla Mujeres'!$AF$7:$AG$27,2,FALSE)</f>
        <v>4</v>
      </c>
      <c r="AB18" s="200">
        <f>VLOOKUP(Z18,'Tabla Varones'!$AF$7:$AG$27,2,FALSE)</f>
        <v>6</v>
      </c>
      <c r="AC18" s="199">
        <f t="shared" si="0"/>
        <v>4</v>
      </c>
    </row>
    <row r="19" spans="1:165" x14ac:dyDescent="0.15">
      <c r="A19" s="213"/>
      <c r="B19" s="213">
        <v>5</v>
      </c>
      <c r="C19" s="213"/>
      <c r="D19" s="213"/>
      <c r="E19" s="213"/>
      <c r="F19" s="213">
        <v>2</v>
      </c>
      <c r="G19" s="213"/>
      <c r="H19" s="213">
        <v>1</v>
      </c>
      <c r="I19" s="213"/>
      <c r="J19" s="213">
        <v>1</v>
      </c>
      <c r="K19" s="213"/>
      <c r="L19" s="213">
        <v>3</v>
      </c>
      <c r="M19" s="213"/>
      <c r="N19" s="213">
        <v>2</v>
      </c>
      <c r="O19" s="213"/>
      <c r="P19" s="213">
        <v>1</v>
      </c>
      <c r="Q19" s="213"/>
      <c r="R19" s="213"/>
      <c r="S19" s="213"/>
      <c r="T19" s="213"/>
      <c r="U19" s="213"/>
      <c r="V19" s="213"/>
      <c r="W19" s="213"/>
      <c r="X19" s="213"/>
      <c r="Y19" s="29" t="s">
        <v>24</v>
      </c>
      <c r="Z19" s="192">
        <f>(IF(B18&gt;0,B18-1))+(IF(D9&gt;0,D9-1))+(IF(F18&gt;0,F18-1))+(IF(H12&gt;0,H12-1))+(IF(J13&gt;0,J13-1))+(IF(L7&gt;0,L7-1))+(IF(L17&gt;0,L17-1))+(IF(N7&gt;0,N7-1))+(IF(P5&gt;0,P5-1))+(IF(R18&gt;0,R18-1))+(IF(F4&gt;0,F4-1))+(IF(T11&gt;0,(T11-3)*-1))</f>
        <v>8</v>
      </c>
      <c r="AA19" s="195"/>
      <c r="AB19" s="200"/>
      <c r="AC19" s="202">
        <f>VLOOKUP(Z19,'Estilo de Respuesta'!B5:C29,2,FALSE)</f>
        <v>4</v>
      </c>
    </row>
    <row r="20" spans="1:165" x14ac:dyDescent="0.15">
      <c r="A20" s="213"/>
      <c r="B20" s="213">
        <v>3</v>
      </c>
      <c r="C20" s="213"/>
      <c r="D20" s="213">
        <v>3</v>
      </c>
      <c r="E20" s="213"/>
      <c r="F20" s="213">
        <v>2</v>
      </c>
      <c r="G20" s="213"/>
      <c r="H20" s="213">
        <v>1</v>
      </c>
      <c r="I20" s="213"/>
      <c r="J20" s="213"/>
      <c r="K20" s="213"/>
      <c r="L20" s="213">
        <v>1</v>
      </c>
      <c r="M20" s="213"/>
      <c r="N20" s="213">
        <v>2</v>
      </c>
      <c r="O20" s="213"/>
      <c r="P20" s="213">
        <v>3</v>
      </c>
      <c r="Q20" s="213"/>
      <c r="R20" s="213"/>
      <c r="S20" s="213"/>
      <c r="T20" s="213"/>
      <c r="U20" s="213"/>
      <c r="V20" s="213"/>
      <c r="W20" s="213"/>
      <c r="X20" s="213"/>
      <c r="Y20" s="29" t="s">
        <v>25</v>
      </c>
      <c r="Z20" s="192">
        <f>(IF(B7=2,1))+(IF(B10=2,1))+(IF(B12=2,1))+(IF(B16=2,1))+(IF(B18=2,1))+(IF(D8=2,1))+(IF(D10=2,1))+(IF(D12=2,1))+(IF(D13=2,1))+(IF(D14=2,1))+(IF(F5=2,1))+(IF(F6=2,1))+(IF(H5=2,1))+(IF(H10=2,1))+(IF(H17=2,1))+(IF(J13=2,1))+(IF(J18=2,1))+(IF(L7=2,1))+(IF(L12=2,1))+(IF(L13=2,1))+(IF(L14=2,1))+(IF(N4=2,1))+(IF(N7=2,1))+(IF(N8=2,1))+(IF(N17=2,1))+(IF(P6=2,1))+(IF(P11=2,1))+(IF(P13=2,1))+(IF(P15=2,1))+(IF(P18=2,1))+(IF(R4=2,1))+(IF(R5=2,1))+(IF(R14=2,1))+(IF(R18=2,1))+(IF(T9=2,1))+(IF(T12=2,1))+(IF(T16=2,1))+(IF(T18=2,1))</f>
        <v>1</v>
      </c>
      <c r="AA20" s="195"/>
      <c r="AB20" s="200"/>
      <c r="AC20" s="202">
        <f>VLOOKUP(Z20,'Estilo de Respuesta'!D5:E43,2,FALSE)</f>
        <v>7</v>
      </c>
    </row>
    <row r="21" spans="1:165" ht="13.5" thickBot="1" x14ac:dyDescent="0.2">
      <c r="A21" s="213"/>
      <c r="B21" s="213">
        <v>3</v>
      </c>
      <c r="C21" s="213"/>
      <c r="D21" s="213">
        <v>1</v>
      </c>
      <c r="E21" s="213"/>
      <c r="F21" s="213">
        <v>11</v>
      </c>
      <c r="G21" s="213"/>
      <c r="H21" s="213">
        <v>3</v>
      </c>
      <c r="I21" s="213"/>
      <c r="J21" s="213"/>
      <c r="K21" s="213"/>
      <c r="L21" s="213">
        <v>3</v>
      </c>
      <c r="M21" s="213"/>
      <c r="N21" s="213">
        <v>2</v>
      </c>
      <c r="O21" s="213"/>
      <c r="P21" s="213"/>
      <c r="Q21" s="213"/>
      <c r="R21" s="213"/>
      <c r="S21" s="213"/>
      <c r="T21" s="213"/>
      <c r="U21" s="213"/>
      <c r="V21" s="213"/>
      <c r="W21" s="213">
        <f>(IF(B4=1,1))+(IF(B6=1,1))+(IF(B7=1,1))+(IF(B8=1,1))+(IF(B11=1,1))+(IF(B12=1,1))+(IF(B14=1,1))+(IF(B15=1,1))+(IF(B16=1,1))+(IF(D9=1,1))+(IF(D13=1,1))+(IF(D14=1,1))+(IF(D15=1,1))+(IF(F3=1,1))+(IF(F4=1,1))+(IF(F5=1,1))+(IF(F6=1,1))+(IF(F9=1,1))+(IF(F10=1,1))+(IF(F11=1,1))+(IF(F13=1,1))+(IF(F14=1,1))+(IF(F17=1,1))+(IF(F18=1,1))+(IF(H3=1,1))+(IF(H4=1,1))+(IF(H8=1,1))+(IF(H11=1,1))+(IF(H12=1,1))+(IF(H13=1,1))+(IF(H15=1,1))+(IF(H16=1,1))+(IF(H17=1,1))+(IF(H18=1,1))+(IF(J3=1,1))+(IF(J4=1,1))+(IF(J6=1,1))+(IF(J7=1,1))+(IF(J9=1,1))+(IF(J14=1,1))+(IF(J15=1,1))+(IF(J17=1,1))+(IF(L5=1,1))+(IF(L7=1,1))+(IF(L9=1,1))+(IF(L11=1,1))+(IF(L12=1,1))+(IF(L13=1,1))+(IF(L14=1,1))+(IF(L15=1,1))+(IF(L18=1,1))+(IF(N3=1,1))+(IF(N5=1,1))</f>
        <v>34</v>
      </c>
      <c r="X21" s="213">
        <f>(IF(N6=1,1))+(IF(N9=1,1))+(IF(N11=1,1))+(IF(N12=1,1))+(IF(N13=1,1))+(IF(N14=1,1))+(IF(N16=1,1))+(IF(N17=1,1))+(IF(P3=1,1))+(IF(P4=1,1))+(IF(P6=1,1))+(IF(P7=1,1))+(IF(P8=1,1))+(IF(P14=1,1))+(IF(P15=1,1))+(IF(P16=1,1))+(IF(P18=1,1))+(IF(R4=1,1))+(IF(R6=1,1))+(IF(R7=1,1))+(IF(R8=1,1))+(IF(R9=1,1))+(IF(R11=1,1))+(IF(R12=1,1))+(IF(R15=1,1))+(IF(R16=1,1))+(IF(T3=1,1))+(IF(T4=1,1))+(IF(T6=1,1))+(IF(T7=1,1))+(IF(T8=1,1))+(IF(T9=1,1))+(IF(T10=1,1))+(IF(T13=1,1))+(IF(T14=1,1))+(IF(T15=1,1))+(IF(T17=1,1))+(IF(V3=1,1))+(IF(V7=1,1))+(IF(V8=1,1))+(IF(V9=1,1))+(IF(V11=1,1))</f>
        <v>27</v>
      </c>
      <c r="Y21" s="30" t="s">
        <v>26</v>
      </c>
      <c r="Z21" s="193">
        <f>(W21+X21)</f>
        <v>61</v>
      </c>
      <c r="AA21" s="196"/>
      <c r="AB21" s="201"/>
      <c r="AC21" s="203">
        <f>VLOOKUP(Z21,'Estilo de Respuesta'!F5:G82,2,FALSE)</f>
        <v>8</v>
      </c>
    </row>
    <row r="22" spans="1:165" x14ac:dyDescent="0.15">
      <c r="A22" s="213"/>
      <c r="B22" s="213">
        <v>3</v>
      </c>
      <c r="C22" s="213"/>
      <c r="D22" s="213">
        <v>3</v>
      </c>
      <c r="E22" s="213"/>
      <c r="F22" s="213">
        <v>2</v>
      </c>
      <c r="G22" s="213"/>
      <c r="H22" s="213"/>
      <c r="I22" s="213"/>
      <c r="J22" s="213"/>
      <c r="K22" s="213"/>
      <c r="L22" s="213">
        <v>2</v>
      </c>
      <c r="M22" s="213"/>
      <c r="N22" s="213">
        <v>1</v>
      </c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4"/>
      <c r="Z22" s="9"/>
      <c r="AA22" s="24"/>
    </row>
    <row r="23" spans="1:165" x14ac:dyDescent="0.15">
      <c r="A23" s="213"/>
      <c r="B23" s="213"/>
      <c r="C23" s="213"/>
      <c r="D23" s="213"/>
      <c r="E23" s="213"/>
      <c r="F23" s="213">
        <v>3</v>
      </c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4"/>
      <c r="Z23" s="9"/>
      <c r="AA23" s="24"/>
    </row>
    <row r="24" spans="1:165" x14ac:dyDescent="0.15">
      <c r="A24" s="213"/>
      <c r="B24" s="213"/>
      <c r="C24" s="213"/>
      <c r="D24" s="213"/>
      <c r="E24" s="213"/>
      <c r="F24" s="213">
        <v>2</v>
      </c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4"/>
      <c r="Z24" s="9"/>
      <c r="AA24" s="24"/>
    </row>
    <row r="25" spans="1:165" x14ac:dyDescent="0.15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4"/>
      <c r="Z25" s="9"/>
      <c r="AA25" s="24"/>
      <c r="CO25" s="7"/>
    </row>
    <row r="26" spans="1:165" x14ac:dyDescent="0.15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4"/>
      <c r="Z26" s="9"/>
      <c r="AA26" s="24"/>
    </row>
    <row r="27" spans="1:165" x14ac:dyDescent="0.15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</row>
    <row r="28" spans="1:165" x14ac:dyDescent="0.15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/>
      <c r="AE28" s="12"/>
      <c r="AF28" s="13"/>
      <c r="AG28" s="13"/>
      <c r="AH28" s="13"/>
      <c r="AI28" s="13"/>
      <c r="AJ28" s="13"/>
      <c r="AK28" s="13"/>
      <c r="AL28" s="13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3"/>
      <c r="CC28" s="13"/>
      <c r="CD28" s="13"/>
      <c r="CE28" s="13"/>
      <c r="CF28" s="13"/>
      <c r="CG28" s="13"/>
      <c r="CH28" s="13"/>
      <c r="CI28" s="12"/>
      <c r="CJ28" s="12"/>
      <c r="CK28" s="12"/>
      <c r="CL28" s="12"/>
    </row>
    <row r="29" spans="1:165" x14ac:dyDescent="0.1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/>
      <c r="AE29" s="12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2"/>
      <c r="BY29" s="12"/>
      <c r="BZ29" s="12"/>
      <c r="CA29" s="12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</row>
    <row r="30" spans="1:165" x14ac:dyDescent="0.15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/>
      <c r="AE30" s="14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</row>
    <row r="31" spans="1:165" x14ac:dyDescent="0.1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/>
      <c r="AE31" s="17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8"/>
      <c r="CC31" s="10"/>
      <c r="CD31" s="11"/>
      <c r="CE31" s="10"/>
      <c r="CF31" s="11"/>
      <c r="CG31" s="11"/>
      <c r="CH31" s="10"/>
      <c r="CI31" s="11"/>
      <c r="CJ31" s="10"/>
      <c r="CK31" s="10"/>
      <c r="CL31" s="11"/>
    </row>
    <row r="32" spans="1:165" x14ac:dyDescent="0.15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/>
      <c r="AE32" s="17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8"/>
      <c r="CC32" s="10"/>
      <c r="CD32" s="11"/>
      <c r="CE32" s="10"/>
      <c r="CF32" s="11"/>
      <c r="CG32" s="11"/>
      <c r="CH32" s="10"/>
      <c r="CI32" s="10"/>
      <c r="CJ32" s="11"/>
      <c r="CK32" s="11"/>
      <c r="CL32" s="11"/>
    </row>
    <row r="33" spans="1:90" x14ac:dyDescent="0.15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/>
      <c r="AE33" s="17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8"/>
      <c r="CC33" s="11"/>
      <c r="CD33" s="10"/>
      <c r="CE33" s="11"/>
      <c r="CF33" s="10"/>
      <c r="CG33" s="11"/>
      <c r="CH33" s="10"/>
      <c r="CI33" s="10"/>
      <c r="CJ33" s="11"/>
      <c r="CK33" s="11"/>
      <c r="CL33" s="10"/>
    </row>
    <row r="34" spans="1:90" x14ac:dyDescent="0.15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/>
      <c r="AE34" s="17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8"/>
      <c r="CC34" s="11"/>
      <c r="CD34" s="11"/>
      <c r="CE34" s="10"/>
      <c r="CF34" s="11"/>
      <c r="CG34" s="11"/>
      <c r="CH34" s="10"/>
      <c r="CI34" s="10"/>
      <c r="CJ34" s="11"/>
      <c r="CK34" s="10"/>
      <c r="CL34" s="11"/>
    </row>
    <row r="35" spans="1:90" x14ac:dyDescent="0.15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/>
      <c r="AE35" s="17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8"/>
      <c r="CC35" s="10"/>
      <c r="CD35" s="11"/>
      <c r="CE35" s="10"/>
      <c r="CF35" s="11"/>
      <c r="CG35" s="10"/>
      <c r="CH35" s="10"/>
      <c r="CI35" s="10"/>
      <c r="CJ35" s="11"/>
      <c r="CK35" s="11"/>
      <c r="CL35" s="10"/>
    </row>
    <row r="36" spans="1:90" x14ac:dyDescent="0.15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/>
      <c r="AE36" s="17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8"/>
      <c r="CC36" s="10"/>
      <c r="CD36" s="11"/>
      <c r="CE36" s="10"/>
      <c r="CF36" s="11"/>
      <c r="CG36" s="11"/>
      <c r="CH36" s="11"/>
      <c r="CI36" s="11"/>
      <c r="CJ36" s="10"/>
      <c r="CK36" s="10"/>
      <c r="CL36" s="11"/>
    </row>
    <row r="37" spans="1:90" x14ac:dyDescent="0.15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/>
      <c r="AE37" s="17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8"/>
      <c r="CC37" s="10"/>
      <c r="CD37" s="11"/>
      <c r="CE37" s="11"/>
      <c r="CF37" s="10"/>
      <c r="CG37" s="11"/>
      <c r="CH37" s="10"/>
      <c r="CI37" s="10"/>
      <c r="CJ37" s="11"/>
      <c r="CK37" s="11"/>
      <c r="CL37" s="10"/>
    </row>
    <row r="38" spans="1:90" x14ac:dyDescent="0.15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/>
      <c r="AE38" s="17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8"/>
      <c r="CC38" s="10"/>
      <c r="CD38" s="11"/>
      <c r="CE38" s="10"/>
      <c r="CF38" s="11"/>
      <c r="CG38" s="11"/>
      <c r="CH38" s="10"/>
      <c r="CI38" s="11"/>
      <c r="CJ38" s="10"/>
      <c r="CK38" s="10"/>
      <c r="CL38" s="11"/>
    </row>
    <row r="39" spans="1:90" x14ac:dyDescent="0.15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/>
      <c r="AE39" s="17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8"/>
      <c r="CC39" s="11"/>
      <c r="CD39" s="11"/>
      <c r="CE39" s="10"/>
      <c r="CF39" s="11"/>
      <c r="CG39" s="10"/>
      <c r="CH39" s="11"/>
      <c r="CI39" s="10"/>
      <c r="CJ39" s="11"/>
      <c r="CK39" s="11"/>
      <c r="CL39" s="11"/>
    </row>
    <row r="40" spans="1:90" x14ac:dyDescent="0.15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/>
      <c r="AE40" s="17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8"/>
      <c r="CC40" s="11"/>
      <c r="CD40" s="11"/>
      <c r="CE40" s="11"/>
      <c r="CF40" s="11"/>
      <c r="CG40" s="11"/>
      <c r="CH40" s="10"/>
      <c r="CI40" s="11"/>
      <c r="CJ40" s="11"/>
      <c r="CK40" s="11"/>
      <c r="CL40" s="10"/>
    </row>
    <row r="41" spans="1:90" x14ac:dyDescent="0.15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/>
      <c r="AE41" s="17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8"/>
      <c r="CC41" s="11"/>
      <c r="CD41" s="10"/>
      <c r="CE41" s="10"/>
      <c r="CF41" s="11"/>
      <c r="CG41" s="10"/>
      <c r="CH41" s="11"/>
      <c r="CI41" s="10"/>
      <c r="CJ41" s="11"/>
      <c r="CK41" s="11"/>
      <c r="CL41" s="11"/>
    </row>
    <row r="42" spans="1:90" x14ac:dyDescent="0.15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/>
      <c r="AE42" s="17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8"/>
      <c r="CC42" s="10"/>
      <c r="CD42" s="11"/>
      <c r="CE42" s="10"/>
      <c r="CF42" s="11"/>
      <c r="CG42" s="10"/>
      <c r="CH42" s="11"/>
      <c r="CI42" s="11"/>
      <c r="CJ42" s="11"/>
      <c r="CK42" s="10"/>
      <c r="CL42" s="11"/>
    </row>
    <row r="43" spans="1:90" x14ac:dyDescent="0.15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/>
      <c r="AE43" s="17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8"/>
      <c r="CC43" s="11"/>
      <c r="CD43" s="10"/>
      <c r="CE43" s="11"/>
      <c r="CF43" s="10"/>
      <c r="CG43" s="11"/>
      <c r="CH43" s="10"/>
      <c r="CI43" s="10"/>
      <c r="CJ43" s="11"/>
      <c r="CK43" s="11"/>
      <c r="CL43" s="11"/>
    </row>
    <row r="44" spans="1:90" x14ac:dyDescent="0.1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/>
      <c r="AE44" s="17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8"/>
      <c r="CC44" s="11"/>
      <c r="CD44" s="10"/>
      <c r="CE44" s="11"/>
      <c r="CF44" s="10"/>
      <c r="CG44" s="11"/>
      <c r="CH44" s="10"/>
      <c r="CI44" s="11"/>
      <c r="CJ44" s="11"/>
      <c r="CK44" s="11"/>
      <c r="CL44" s="11"/>
    </row>
    <row r="45" spans="1:90" x14ac:dyDescent="0.1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/>
      <c r="AE45" s="17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8"/>
      <c r="CC45" s="10"/>
      <c r="CD45" s="11"/>
      <c r="CE45" s="10"/>
      <c r="CF45" s="11"/>
      <c r="CG45" s="11"/>
      <c r="CH45" s="10"/>
      <c r="CI45" s="10"/>
      <c r="CJ45" s="11"/>
      <c r="CK45" s="10"/>
      <c r="CL45" s="11"/>
    </row>
    <row r="46" spans="1:90" x14ac:dyDescent="0.15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/>
      <c r="AE46" s="17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8"/>
      <c r="CC46" s="10"/>
      <c r="CD46" s="11"/>
      <c r="CE46" s="10"/>
      <c r="CF46" s="11"/>
      <c r="CG46" s="10"/>
      <c r="CH46" s="11"/>
      <c r="CI46" s="10"/>
      <c r="CJ46" s="11"/>
      <c r="CK46" s="11"/>
      <c r="CL46" s="11"/>
    </row>
    <row r="47" spans="1:90" x14ac:dyDescent="0.15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/>
      <c r="AE47" s="19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20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6"/>
      <c r="CC47" s="10"/>
      <c r="CD47" s="10"/>
      <c r="CE47" s="10"/>
      <c r="CF47" s="10"/>
      <c r="CG47" s="10"/>
      <c r="CH47" s="10"/>
      <c r="CI47" s="10"/>
      <c r="CJ47" s="10"/>
      <c r="CK47" s="10"/>
      <c r="CL47" s="10"/>
    </row>
    <row r="48" spans="1:90" x14ac:dyDescent="0.15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/>
      <c r="AE48" s="19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20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6"/>
      <c r="CC48" s="10"/>
      <c r="CD48" s="11"/>
      <c r="CE48" s="10"/>
      <c r="CF48" s="11"/>
      <c r="CG48" s="10"/>
      <c r="CH48" s="11"/>
      <c r="CI48" s="10"/>
      <c r="CJ48" s="11"/>
      <c r="CK48" s="10"/>
      <c r="CL48" s="11"/>
    </row>
    <row r="49" spans="1:109" x14ac:dyDescent="0.15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/>
      <c r="AE49" s="19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21"/>
      <c r="CC49" s="22"/>
      <c r="CD49" s="23"/>
      <c r="CE49" s="22"/>
      <c r="CF49" s="23"/>
      <c r="CG49" s="22"/>
      <c r="CH49" s="23"/>
      <c r="CI49" s="22"/>
      <c r="CJ49" s="23"/>
      <c r="CK49" s="22"/>
      <c r="CL49" s="23"/>
    </row>
    <row r="50" spans="1:109" x14ac:dyDescent="0.15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/>
      <c r="AE50" s="14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1"/>
      <c r="CC50" s="16"/>
      <c r="CD50" s="16"/>
      <c r="CE50" s="16"/>
      <c r="CF50" s="16"/>
      <c r="CG50" s="16"/>
      <c r="CH50" s="16"/>
      <c r="CI50" s="16"/>
      <c r="CJ50" s="16"/>
      <c r="CK50" s="16"/>
      <c r="CL50" s="16"/>
    </row>
    <row r="51" spans="1:109" x14ac:dyDescent="0.15">
      <c r="Y51"/>
    </row>
    <row r="52" spans="1:109" x14ac:dyDescent="0.15">
      <c r="Y52"/>
      <c r="AA52" s="26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</row>
    <row r="53" spans="1:109" x14ac:dyDescent="0.15">
      <c r="Y53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</row>
    <row r="54" spans="1:109" x14ac:dyDescent="0.15">
      <c r="Y54"/>
    </row>
    <row r="55" spans="1:109" x14ac:dyDescent="0.15">
      <c r="Y55"/>
    </row>
    <row r="56" spans="1:109" x14ac:dyDescent="0.15">
      <c r="Y56"/>
    </row>
    <row r="57" spans="1:109" x14ac:dyDescent="0.15">
      <c r="Y57"/>
    </row>
    <row r="58" spans="1:109" x14ac:dyDescent="0.15">
      <c r="Y58"/>
    </row>
    <row r="59" spans="1:109" x14ac:dyDescent="0.15">
      <c r="Y59"/>
    </row>
    <row r="60" spans="1:109" x14ac:dyDescent="0.15">
      <c r="Y60"/>
    </row>
    <row r="61" spans="1:109" x14ac:dyDescent="0.15">
      <c r="Y61"/>
    </row>
    <row r="62" spans="1:109" x14ac:dyDescent="0.15">
      <c r="Y62"/>
    </row>
    <row r="63" spans="1:109" x14ac:dyDescent="0.15">
      <c r="Y63"/>
    </row>
    <row r="64" spans="1:109" x14ac:dyDescent="0.15">
      <c r="Y64"/>
    </row>
    <row r="65" spans="25:55" x14ac:dyDescent="0.15">
      <c r="Y65"/>
    </row>
    <row r="66" spans="25:55" x14ac:dyDescent="0.15">
      <c r="Y66"/>
    </row>
    <row r="67" spans="25:55" x14ac:dyDescent="0.15">
      <c r="Y67"/>
    </row>
    <row r="68" spans="25:55" x14ac:dyDescent="0.15">
      <c r="Y68"/>
      <c r="BC68" s="4"/>
    </row>
    <row r="69" spans="25:55" x14ac:dyDescent="0.15">
      <c r="Y69"/>
      <c r="BC69" s="4"/>
    </row>
    <row r="84" spans="1:1" x14ac:dyDescent="0.15">
      <c r="A84" s="190" t="s">
        <v>8</v>
      </c>
    </row>
    <row r="85" spans="1:1" x14ac:dyDescent="0.15">
      <c r="A85" s="190" t="s">
        <v>4</v>
      </c>
    </row>
  </sheetData>
  <sheetProtection sheet="1" objects="1" scenarios="1"/>
  <mergeCells count="2">
    <mergeCell ref="D2:I2"/>
    <mergeCell ref="U2:W2"/>
  </mergeCells>
  <phoneticPr fontId="9" type="noConversion"/>
  <dataValidations count="2">
    <dataValidation type="list" allowBlank="1" showInputMessage="1" showErrorMessage="1" sqref="N2" xr:uid="{83077FBA-8DCB-4439-BE1A-91FF46731F4B}">
      <formula1>$A$84:$A$85</formula1>
    </dataValidation>
    <dataValidation type="whole" allowBlank="1" showInputMessage="1" showErrorMessage="1" sqref="B3:B18 D3:D18 F3:F18 H3:H18 J3:J18 L3:L18 N3:N18 P3:P18 R3:R18 T3:T18 V3:V12 X3:X17" xr:uid="{B27FF4D9-21B6-4789-87B0-8C1D0DD9F4AE}">
      <formula1>1</formula1>
      <formula2>3</formula2>
    </dataValidation>
  </dataValidations>
  <pageMargins left="0.39370078740157483" right="0.39370078740157483" top="0.59055118110236227" bottom="0.39370078740157483" header="0.51181102362204722" footer="0.51181102362204722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F208-932D-4612-8807-97E5C710BA8E}">
  <dimension ref="A1:Z66"/>
  <sheetViews>
    <sheetView workbookViewId="0">
      <selection activeCell="T47" sqref="T47"/>
    </sheetView>
  </sheetViews>
  <sheetFormatPr defaultRowHeight="12.75" x14ac:dyDescent="0.15"/>
  <cols>
    <col min="1" max="1" width="4.1796875" customWidth="1"/>
    <col min="2" max="2" width="12.5390625" customWidth="1"/>
    <col min="3" max="3" width="4.58203125" customWidth="1"/>
    <col min="4" max="4" width="6.203125" customWidth="1"/>
    <col min="5" max="8" width="5.52734375" customWidth="1"/>
    <col min="9" max="19" width="4.71875" customWidth="1"/>
    <col min="20" max="20" width="15.640625" customWidth="1"/>
    <col min="21" max="21" width="7.8203125" customWidth="1"/>
    <col min="22" max="22" width="5.2578125" customWidth="1"/>
    <col min="23" max="256" width="11.4609375" customWidth="1"/>
  </cols>
  <sheetData>
    <row r="1" spans="1:18" ht="14.25" x14ac:dyDescent="0.15">
      <c r="E1" s="69" t="s">
        <v>27</v>
      </c>
    </row>
    <row r="3" spans="1:18" x14ac:dyDescent="0.15">
      <c r="B3" s="67" t="s">
        <v>2</v>
      </c>
      <c r="C3" s="64" t="str">
        <f>'Ingreso Datos'!D2</f>
        <v>aabr</v>
      </c>
      <c r="D3" s="64"/>
      <c r="E3" s="64"/>
      <c r="F3" s="64"/>
      <c r="G3" s="66"/>
      <c r="J3" s="93" t="s">
        <v>28</v>
      </c>
      <c r="K3" s="68"/>
      <c r="L3" s="135">
        <f>'Ingreso Datos'!U2</f>
        <v>44792</v>
      </c>
      <c r="M3" s="136"/>
      <c r="N3" s="137"/>
    </row>
    <row r="4" spans="1:18" ht="13.5" thickBot="1" x14ac:dyDescent="0.2">
      <c r="R4" s="214"/>
    </row>
    <row r="5" spans="1:18" ht="27.75" customHeight="1" x14ac:dyDescent="0.15">
      <c r="E5" s="82" t="s">
        <v>29</v>
      </c>
      <c r="F5" s="83"/>
      <c r="G5" s="82" t="s">
        <v>30</v>
      </c>
      <c r="H5" s="83"/>
      <c r="I5" s="82" t="s">
        <v>31</v>
      </c>
      <c r="J5" s="83"/>
      <c r="K5" s="82" t="s">
        <v>32</v>
      </c>
      <c r="L5" s="83"/>
      <c r="M5" s="82" t="s">
        <v>33</v>
      </c>
      <c r="N5" s="83"/>
      <c r="R5" s="214"/>
    </row>
    <row r="6" spans="1:18" ht="21" x14ac:dyDescent="0.2">
      <c r="A6" s="57"/>
      <c r="B6" s="60" t="s">
        <v>34</v>
      </c>
      <c r="C6" s="61" t="s">
        <v>7</v>
      </c>
      <c r="D6" s="62" t="s">
        <v>9</v>
      </c>
      <c r="E6" s="46" t="s">
        <v>35</v>
      </c>
      <c r="F6" s="98" t="s">
        <v>36</v>
      </c>
      <c r="G6" s="46" t="s">
        <v>35</v>
      </c>
      <c r="H6" s="98" t="s">
        <v>36</v>
      </c>
      <c r="I6" s="46" t="s">
        <v>35</v>
      </c>
      <c r="J6" s="98" t="s">
        <v>36</v>
      </c>
      <c r="K6" s="46" t="s">
        <v>35</v>
      </c>
      <c r="L6" s="98" t="s">
        <v>36</v>
      </c>
      <c r="M6" s="46" t="s">
        <v>35</v>
      </c>
      <c r="N6" s="98" t="s">
        <v>36</v>
      </c>
      <c r="O6" s="31"/>
      <c r="R6" s="73">
        <f>'Ingreso Datos'!AC18</f>
        <v>4</v>
      </c>
    </row>
    <row r="7" spans="1:18" x14ac:dyDescent="0.15">
      <c r="A7" s="37" t="s">
        <v>10</v>
      </c>
      <c r="B7" s="39" t="s">
        <v>37</v>
      </c>
      <c r="C7" s="92">
        <f>'Ingreso Datos'!Z3</f>
        <v>16</v>
      </c>
      <c r="D7" s="95">
        <f>'Ingreso Datos'!$AC3</f>
        <v>5</v>
      </c>
      <c r="E7" s="50">
        <f>$D7*5</f>
        <v>25</v>
      </c>
      <c r="F7" s="55"/>
      <c r="G7" s="50">
        <f>D7*2</f>
        <v>10</v>
      </c>
      <c r="H7" s="55"/>
      <c r="I7" s="47"/>
      <c r="J7" s="48">
        <f>$D7*2</f>
        <v>10</v>
      </c>
      <c r="K7" s="47"/>
      <c r="L7" s="48">
        <f>$D7*1</f>
        <v>5</v>
      </c>
      <c r="M7" s="50">
        <f>$D7*3</f>
        <v>15</v>
      </c>
      <c r="N7" s="55"/>
      <c r="P7" s="72" t="s">
        <v>38</v>
      </c>
      <c r="Q7" s="72"/>
      <c r="R7" s="73">
        <f>'Ingreso Datos'!AC17</f>
        <v>5</v>
      </c>
    </row>
    <row r="8" spans="1:18" x14ac:dyDescent="0.15">
      <c r="A8" s="33" t="s">
        <v>11</v>
      </c>
      <c r="B8" s="40" t="s">
        <v>39</v>
      </c>
      <c r="C8" s="92">
        <f>'Ingreso Datos'!Z4</f>
        <v>7</v>
      </c>
      <c r="D8" s="95">
        <f>'Ingreso Datos'!$AC4</f>
        <v>3</v>
      </c>
      <c r="E8" s="50">
        <f>D8*1</f>
        <v>3</v>
      </c>
      <c r="F8" s="51"/>
      <c r="G8" s="50">
        <f>D8*2</f>
        <v>6</v>
      </c>
      <c r="H8" s="51"/>
      <c r="I8" s="49"/>
      <c r="J8" s="48">
        <f>$D8*1</f>
        <v>3</v>
      </c>
      <c r="K8" s="50">
        <f>$D8*1</f>
        <v>3</v>
      </c>
      <c r="L8" s="51"/>
      <c r="M8" s="49"/>
      <c r="N8" s="51"/>
      <c r="O8" s="32"/>
      <c r="P8" s="72" t="s">
        <v>40</v>
      </c>
      <c r="Q8" s="72"/>
      <c r="R8" s="73">
        <f>'Ingreso Datos'!AC16</f>
        <v>9</v>
      </c>
    </row>
    <row r="9" spans="1:18" x14ac:dyDescent="0.15">
      <c r="A9" s="33" t="s">
        <v>12</v>
      </c>
      <c r="B9" s="40" t="s">
        <v>41</v>
      </c>
      <c r="C9" s="92">
        <f>'Ingreso Datos'!Z5</f>
        <v>10</v>
      </c>
      <c r="D9" s="95">
        <f>'Ingreso Datos'!$AC5</f>
        <v>4</v>
      </c>
      <c r="E9" s="49"/>
      <c r="F9" s="48">
        <f>D9*1</f>
        <v>4</v>
      </c>
      <c r="G9" s="49"/>
      <c r="H9" s="48">
        <f>$D9*3</f>
        <v>12</v>
      </c>
      <c r="I9" s="49"/>
      <c r="J9" s="48">
        <f>$D9*1</f>
        <v>4</v>
      </c>
      <c r="K9" s="50">
        <f>$D9*1</f>
        <v>4</v>
      </c>
      <c r="L9" s="51"/>
      <c r="M9" s="49"/>
      <c r="N9" s="48">
        <f>$D9*1</f>
        <v>4</v>
      </c>
      <c r="P9" s="70" t="s">
        <v>24</v>
      </c>
      <c r="Q9" s="71"/>
      <c r="R9" s="73">
        <f>'Ingreso Datos'!AC15</f>
        <v>5</v>
      </c>
    </row>
    <row r="10" spans="1:18" x14ac:dyDescent="0.15">
      <c r="A10" s="33" t="s">
        <v>13</v>
      </c>
      <c r="B10" s="40" t="s">
        <v>42</v>
      </c>
      <c r="C10" s="92">
        <f>'Ingreso Datos'!Z6</f>
        <v>8</v>
      </c>
      <c r="D10" s="95">
        <f>'Ingreso Datos'!$AC6</f>
        <v>3</v>
      </c>
      <c r="E10" s="49"/>
      <c r="F10" s="51"/>
      <c r="G10" s="50">
        <f>D10*1</f>
        <v>3</v>
      </c>
      <c r="H10" s="51"/>
      <c r="I10" s="49"/>
      <c r="J10" s="48">
        <f>$D10*1</f>
        <v>3</v>
      </c>
      <c r="K10" s="50">
        <f>$D10*7</f>
        <v>21</v>
      </c>
      <c r="L10" s="51"/>
      <c r="M10" s="50">
        <f>$D10*1</f>
        <v>3</v>
      </c>
      <c r="N10" s="51"/>
      <c r="P10" s="33" t="s">
        <v>43</v>
      </c>
      <c r="Q10" s="34">
        <f>'Ingreso Datos'!Z19</f>
        <v>8</v>
      </c>
      <c r="R10" s="73">
        <f>'Ingreso Datos'!AC14</f>
        <v>6</v>
      </c>
    </row>
    <row r="11" spans="1:18" x14ac:dyDescent="0.15">
      <c r="A11" s="33" t="s">
        <v>8</v>
      </c>
      <c r="B11" s="40" t="s">
        <v>44</v>
      </c>
      <c r="C11" s="92">
        <f>'Ingreso Datos'!Z7</f>
        <v>10</v>
      </c>
      <c r="D11" s="95">
        <f>'Ingreso Datos'!$AC7</f>
        <v>4</v>
      </c>
      <c r="E11" s="50">
        <f>D11*3</f>
        <v>12</v>
      </c>
      <c r="F11" s="51"/>
      <c r="G11" s="50">
        <f>D11*1</f>
        <v>4</v>
      </c>
      <c r="H11" s="51"/>
      <c r="I11" s="50">
        <f>$D11*3</f>
        <v>12</v>
      </c>
      <c r="J11" s="51"/>
      <c r="K11" s="50">
        <f>$D11*3</f>
        <v>12</v>
      </c>
      <c r="L11" s="51"/>
      <c r="M11" s="49"/>
      <c r="N11" s="48">
        <f>$D11*3</f>
        <v>12</v>
      </c>
      <c r="P11" s="35" t="s">
        <v>45</v>
      </c>
      <c r="Q11" s="36">
        <f>'Ingreso Datos'!AC19</f>
        <v>4</v>
      </c>
      <c r="R11" s="73">
        <f>'Ingreso Datos'!AC13</f>
        <v>6</v>
      </c>
    </row>
    <row r="12" spans="1:18" x14ac:dyDescent="0.15">
      <c r="A12" s="33" t="s">
        <v>14</v>
      </c>
      <c r="B12" s="40" t="s">
        <v>46</v>
      </c>
      <c r="C12" s="92">
        <f>'Ingreso Datos'!Z8</f>
        <v>20</v>
      </c>
      <c r="D12" s="95">
        <f>'Ingreso Datos'!$AC8</f>
        <v>8</v>
      </c>
      <c r="E12" s="50">
        <f>D12*1</f>
        <v>8</v>
      </c>
      <c r="F12" s="51"/>
      <c r="G12" s="50">
        <f>D12*1</f>
        <v>8</v>
      </c>
      <c r="H12" s="51"/>
      <c r="I12" s="49"/>
      <c r="J12" s="51"/>
      <c r="K12" s="49"/>
      <c r="L12" s="48">
        <f>$D12*1</f>
        <v>8</v>
      </c>
      <c r="M12" s="50">
        <f>$D12*5</f>
        <v>40</v>
      </c>
      <c r="N12" s="51"/>
      <c r="R12" s="73">
        <f>'Ingreso Datos'!AC12</f>
        <v>7</v>
      </c>
    </row>
    <row r="13" spans="1:18" x14ac:dyDescent="0.15">
      <c r="A13" s="33" t="s">
        <v>15</v>
      </c>
      <c r="B13" s="40" t="s">
        <v>47</v>
      </c>
      <c r="C13" s="92">
        <f>'Ingreso Datos'!Z9</f>
        <v>2</v>
      </c>
      <c r="D13" s="95">
        <f>'Ingreso Datos'!$AC9</f>
        <v>3</v>
      </c>
      <c r="E13" s="50">
        <f>D13*1</f>
        <v>3</v>
      </c>
      <c r="F13" s="51"/>
      <c r="G13" s="49"/>
      <c r="H13" s="48">
        <f>$D13*2</f>
        <v>6</v>
      </c>
      <c r="I13" s="49"/>
      <c r="J13" s="48">
        <f>$D13*2</f>
        <v>6</v>
      </c>
      <c r="K13" s="50">
        <f>$D13*2</f>
        <v>6</v>
      </c>
      <c r="L13" s="51"/>
      <c r="M13" s="49"/>
      <c r="N13" s="48">
        <f>$D13*1</f>
        <v>3</v>
      </c>
      <c r="R13" s="73">
        <f>'Ingreso Datos'!AC11</f>
        <v>7</v>
      </c>
    </row>
    <row r="14" spans="1:18" x14ac:dyDescent="0.15">
      <c r="A14" s="33" t="s">
        <v>16</v>
      </c>
      <c r="B14" s="40" t="s">
        <v>48</v>
      </c>
      <c r="C14" s="92">
        <f>'Ingreso Datos'!Z10</f>
        <v>9</v>
      </c>
      <c r="D14" s="95">
        <f>'Ingreso Datos'!$AC10</f>
        <v>4</v>
      </c>
      <c r="E14" s="50">
        <f>D14*2</f>
        <v>8</v>
      </c>
      <c r="F14" s="51"/>
      <c r="G14" s="50">
        <f>D14*1</f>
        <v>4</v>
      </c>
      <c r="H14" s="51"/>
      <c r="I14" s="49"/>
      <c r="J14" s="48">
        <f>$D14*3</f>
        <v>12</v>
      </c>
      <c r="K14" s="49"/>
      <c r="L14" s="48">
        <f>$D14*2</f>
        <v>8</v>
      </c>
      <c r="M14" s="50">
        <f>$D14*1</f>
        <v>4</v>
      </c>
      <c r="N14" s="51"/>
      <c r="P14" s="70" t="s">
        <v>25</v>
      </c>
      <c r="Q14" s="71"/>
      <c r="R14" s="73">
        <f>'Ingreso Datos'!AC10</f>
        <v>4</v>
      </c>
    </row>
    <row r="15" spans="1:18" x14ac:dyDescent="0.15">
      <c r="A15" s="33" t="s">
        <v>17</v>
      </c>
      <c r="B15" s="40" t="s">
        <v>49</v>
      </c>
      <c r="C15" s="92">
        <f>'Ingreso Datos'!Z11</f>
        <v>16</v>
      </c>
      <c r="D15" s="95">
        <f>'Ingreso Datos'!$AC11</f>
        <v>7</v>
      </c>
      <c r="E15" s="49"/>
      <c r="F15" s="51"/>
      <c r="G15" s="50">
        <f>D15*3</f>
        <v>21</v>
      </c>
      <c r="H15" s="51"/>
      <c r="I15" s="50">
        <f>$D15*2</f>
        <v>14</v>
      </c>
      <c r="J15" s="51"/>
      <c r="K15" s="50">
        <f>$D15*3</f>
        <v>21</v>
      </c>
      <c r="L15" s="51"/>
      <c r="M15" s="49"/>
      <c r="N15" s="51"/>
      <c r="P15" s="33" t="s">
        <v>43</v>
      </c>
      <c r="Q15" s="34">
        <f>'Ingreso Datos'!Z20</f>
        <v>1</v>
      </c>
      <c r="R15" s="73">
        <f>'Ingreso Datos'!AC9</f>
        <v>3</v>
      </c>
    </row>
    <row r="16" spans="1:18" x14ac:dyDescent="0.15">
      <c r="A16" s="33" t="s">
        <v>4</v>
      </c>
      <c r="B16" s="40" t="s">
        <v>50</v>
      </c>
      <c r="C16" s="92">
        <f>'Ingreso Datos'!Z12</f>
        <v>12</v>
      </c>
      <c r="D16" s="95">
        <f>'Ingreso Datos'!$AC12</f>
        <v>7</v>
      </c>
      <c r="E16" s="49"/>
      <c r="F16" s="51"/>
      <c r="G16" s="49"/>
      <c r="H16" s="51"/>
      <c r="I16" s="49"/>
      <c r="J16" s="48">
        <f>$D16*3</f>
        <v>21</v>
      </c>
      <c r="K16" s="49"/>
      <c r="L16" s="51"/>
      <c r="M16" s="49"/>
      <c r="N16" s="48">
        <f>$D16*1</f>
        <v>7</v>
      </c>
      <c r="P16" s="35" t="s">
        <v>45</v>
      </c>
      <c r="Q16" s="36">
        <f>'Ingreso Datos'!AC20</f>
        <v>7</v>
      </c>
      <c r="R16" s="73">
        <f>'Ingreso Datos'!AC8</f>
        <v>8</v>
      </c>
    </row>
    <row r="17" spans="1:23" x14ac:dyDescent="0.15">
      <c r="A17" s="33" t="s">
        <v>18</v>
      </c>
      <c r="B17" s="40" t="s">
        <v>51</v>
      </c>
      <c r="C17" s="92">
        <f>'Ingreso Datos'!Z13</f>
        <v>12</v>
      </c>
      <c r="D17" s="95">
        <f>'Ingreso Datos'!$AC13</f>
        <v>6</v>
      </c>
      <c r="E17" s="49"/>
      <c r="F17" s="48">
        <f>D17*3</f>
        <v>18</v>
      </c>
      <c r="G17" s="50">
        <f>D17*1</f>
        <v>6</v>
      </c>
      <c r="H17" s="51"/>
      <c r="I17" s="50">
        <f>$D17*1</f>
        <v>6</v>
      </c>
      <c r="J17" s="51"/>
      <c r="K17" s="50">
        <f>$D17*2</f>
        <v>12</v>
      </c>
      <c r="L17" s="51"/>
      <c r="M17" s="49"/>
      <c r="N17" s="51"/>
      <c r="R17" s="73">
        <f>'Ingreso Datos'!AC7</f>
        <v>4</v>
      </c>
    </row>
    <row r="18" spans="1:23" x14ac:dyDescent="0.15">
      <c r="A18" s="33" t="s">
        <v>19</v>
      </c>
      <c r="B18" s="40" t="s">
        <v>52</v>
      </c>
      <c r="C18" s="92">
        <f>'Ingreso Datos'!Z14</f>
        <v>14</v>
      </c>
      <c r="D18" s="95">
        <f>'Ingreso Datos'!$AC14</f>
        <v>6</v>
      </c>
      <c r="E18" s="50">
        <f>D18*2</f>
        <v>12</v>
      </c>
      <c r="F18" s="51"/>
      <c r="G18" s="50">
        <f>D18*5</f>
        <v>30</v>
      </c>
      <c r="H18" s="51"/>
      <c r="I18" s="50">
        <f>$D18*1</f>
        <v>6</v>
      </c>
      <c r="J18" s="51"/>
      <c r="K18" s="49"/>
      <c r="L18" s="51"/>
      <c r="M18" s="50">
        <f>$D18*3</f>
        <v>18</v>
      </c>
      <c r="N18" s="51"/>
      <c r="R18" s="73">
        <f>'Ingreso Datos'!AC6</f>
        <v>3</v>
      </c>
    </row>
    <row r="19" spans="1:23" x14ac:dyDescent="0.15">
      <c r="A19" s="33" t="s">
        <v>20</v>
      </c>
      <c r="B19" s="40" t="s">
        <v>53</v>
      </c>
      <c r="C19" s="92">
        <f>'Ingreso Datos'!Z15</f>
        <v>15</v>
      </c>
      <c r="D19" s="95">
        <f>'Ingreso Datos'!$AC15</f>
        <v>5</v>
      </c>
      <c r="E19" s="49"/>
      <c r="F19" s="48">
        <f>D19*2</f>
        <v>10</v>
      </c>
      <c r="G19" s="49"/>
      <c r="H19" s="48">
        <f>$D19*4</f>
        <v>20</v>
      </c>
      <c r="I19" s="49"/>
      <c r="J19" s="48">
        <f>$D19*8</f>
        <v>40</v>
      </c>
      <c r="K19" s="50">
        <f>$D19*1</f>
        <v>5</v>
      </c>
      <c r="L19" s="51"/>
      <c r="M19" s="49"/>
      <c r="N19" s="51"/>
      <c r="P19" s="70" t="s">
        <v>26</v>
      </c>
      <c r="Q19" s="71"/>
      <c r="R19" s="73">
        <f>'Ingreso Datos'!AC5</f>
        <v>4</v>
      </c>
    </row>
    <row r="20" spans="1:23" x14ac:dyDescent="0.15">
      <c r="A20" s="33" t="s">
        <v>21</v>
      </c>
      <c r="B20" s="40" t="s">
        <v>54</v>
      </c>
      <c r="C20" s="92">
        <f>'Ingreso Datos'!Z16</f>
        <v>14</v>
      </c>
      <c r="D20" s="95">
        <f>'Ingreso Datos'!$AC16</f>
        <v>9</v>
      </c>
      <c r="E20" s="49"/>
      <c r="F20" s="48">
        <f>D20*4</f>
        <v>36</v>
      </c>
      <c r="G20" s="49"/>
      <c r="H20" s="48">
        <f>$D20*2</f>
        <v>18</v>
      </c>
      <c r="I20" s="49"/>
      <c r="J20" s="48">
        <f>$D20*3</f>
        <v>27</v>
      </c>
      <c r="K20" s="49"/>
      <c r="L20" s="51"/>
      <c r="M20" s="49"/>
      <c r="N20" s="51"/>
      <c r="P20" s="33" t="s">
        <v>43</v>
      </c>
      <c r="Q20" s="34">
        <f>'Ingreso Datos'!Z21</f>
        <v>61</v>
      </c>
      <c r="R20" s="73">
        <f>'Ingreso Datos'!AC4</f>
        <v>3</v>
      </c>
    </row>
    <row r="21" spans="1:23" x14ac:dyDescent="0.15">
      <c r="A21" s="33" t="s">
        <v>22</v>
      </c>
      <c r="B21" s="40" t="s">
        <v>55</v>
      </c>
      <c r="C21" s="92">
        <f>'Ingreso Datos'!Z17</f>
        <v>14</v>
      </c>
      <c r="D21" s="95">
        <f>'Ingreso Datos'!$AC17</f>
        <v>5</v>
      </c>
      <c r="E21" s="50">
        <f>D21*1</f>
        <v>5</v>
      </c>
      <c r="F21" s="51"/>
      <c r="G21" s="50">
        <f>D21*3</f>
        <v>15</v>
      </c>
      <c r="H21" s="51"/>
      <c r="I21" s="49"/>
      <c r="J21" s="48">
        <f>$D21*1</f>
        <v>5</v>
      </c>
      <c r="K21" s="50">
        <f>$D21*1</f>
        <v>5</v>
      </c>
      <c r="L21" s="51"/>
      <c r="M21" s="50">
        <f>$D21*7</f>
        <v>35</v>
      </c>
      <c r="N21" s="51"/>
      <c r="P21" s="35" t="s">
        <v>45</v>
      </c>
      <c r="Q21" s="36">
        <f>'Ingreso Datos'!AC21</f>
        <v>8</v>
      </c>
      <c r="R21" s="73">
        <f>'Ingreso Datos'!AC3</f>
        <v>5</v>
      </c>
    </row>
    <row r="22" spans="1:23" x14ac:dyDescent="0.15">
      <c r="A22" s="35" t="s">
        <v>23</v>
      </c>
      <c r="B22" s="41" t="s">
        <v>56</v>
      </c>
      <c r="C22" s="92">
        <f>'Ingreso Datos'!Z18</f>
        <v>5</v>
      </c>
      <c r="D22" s="95">
        <f>'Ingreso Datos'!$AC18</f>
        <v>4</v>
      </c>
      <c r="E22" s="50">
        <f>D22*1</f>
        <v>4</v>
      </c>
      <c r="F22" s="52"/>
      <c r="G22" s="50">
        <f>D22*4</f>
        <v>16</v>
      </c>
      <c r="H22" s="52"/>
      <c r="I22" s="50">
        <f>$D22*3</f>
        <v>12</v>
      </c>
      <c r="J22" s="52"/>
      <c r="K22" s="50">
        <f>$D22*2</f>
        <v>8</v>
      </c>
      <c r="L22" s="52"/>
      <c r="M22" s="56"/>
      <c r="N22" s="52"/>
      <c r="R22" s="73">
        <f>Q11</f>
        <v>4</v>
      </c>
    </row>
    <row r="23" spans="1:23" x14ac:dyDescent="0.15">
      <c r="A23" s="33"/>
      <c r="B23" s="43"/>
      <c r="C23" s="97" t="s">
        <v>57</v>
      </c>
      <c r="D23" s="44"/>
      <c r="E23" s="53">
        <v>16</v>
      </c>
      <c r="F23" s="54"/>
      <c r="G23" s="53"/>
      <c r="H23" s="54">
        <v>16</v>
      </c>
      <c r="I23" s="53">
        <v>138</v>
      </c>
      <c r="J23" s="54"/>
      <c r="K23" s="53"/>
      <c r="L23" s="54">
        <v>50</v>
      </c>
      <c r="M23" s="53"/>
      <c r="N23" s="54">
        <v>22</v>
      </c>
      <c r="R23" s="73">
        <f>M25</f>
        <v>6.7</v>
      </c>
    </row>
    <row r="24" spans="1:23" x14ac:dyDescent="0.15">
      <c r="A24" s="33"/>
      <c r="B24" s="43"/>
      <c r="C24" s="74" t="s">
        <v>58</v>
      </c>
      <c r="D24" s="43"/>
      <c r="E24" s="53">
        <f t="shared" ref="E24:N24" si="0">SUM(E7:E23)</f>
        <v>96</v>
      </c>
      <c r="F24" s="54">
        <f t="shared" si="0"/>
        <v>68</v>
      </c>
      <c r="G24" s="53">
        <f t="shared" si="0"/>
        <v>123</v>
      </c>
      <c r="H24" s="54">
        <f t="shared" si="0"/>
        <v>72</v>
      </c>
      <c r="I24" s="53">
        <f t="shared" si="0"/>
        <v>188</v>
      </c>
      <c r="J24" s="54">
        <f t="shared" si="0"/>
        <v>131</v>
      </c>
      <c r="K24" s="53">
        <f t="shared" si="0"/>
        <v>97</v>
      </c>
      <c r="L24" s="54">
        <f t="shared" si="0"/>
        <v>71</v>
      </c>
      <c r="M24" s="53">
        <f t="shared" si="0"/>
        <v>115</v>
      </c>
      <c r="N24" s="54">
        <f t="shared" si="0"/>
        <v>48</v>
      </c>
      <c r="R24" s="73">
        <f>K25</f>
        <v>2.6</v>
      </c>
    </row>
    <row r="25" spans="1:23" ht="16.5" customHeight="1" thickBot="1" x14ac:dyDescent="0.2">
      <c r="A25" s="35"/>
      <c r="B25" s="96" t="s">
        <v>59</v>
      </c>
      <c r="C25" s="45"/>
      <c r="D25" s="45"/>
      <c r="E25" s="131">
        <f>ABS((E24-F24)/10)</f>
        <v>2.8</v>
      </c>
      <c r="F25" s="59"/>
      <c r="G25" s="58">
        <f>ABS((G24-H24)/10)</f>
        <v>5.0999999999999996</v>
      </c>
      <c r="H25" s="59"/>
      <c r="I25" s="58">
        <f>ABS((I24-J24)/10)</f>
        <v>5.7</v>
      </c>
      <c r="J25" s="59"/>
      <c r="K25" s="58">
        <f>ABS((K24-L24)/10)</f>
        <v>2.6</v>
      </c>
      <c r="L25" s="59"/>
      <c r="M25" s="58">
        <f>ABS((M24-N24)/10)</f>
        <v>6.7</v>
      </c>
      <c r="N25" s="59"/>
      <c r="R25" s="73">
        <f>I25</f>
        <v>5.7</v>
      </c>
    </row>
    <row r="26" spans="1:23" x14ac:dyDescent="0.15">
      <c r="R26" s="73">
        <f>G25</f>
        <v>5.0999999999999996</v>
      </c>
    </row>
    <row r="27" spans="1:23" x14ac:dyDescent="0.15">
      <c r="O27" s="130"/>
      <c r="R27" s="73">
        <f>E25</f>
        <v>2.8</v>
      </c>
    </row>
    <row r="28" spans="1:23" ht="14.25" x14ac:dyDescent="0.15">
      <c r="E28" s="69" t="s">
        <v>60</v>
      </c>
    </row>
    <row r="30" spans="1:23" x14ac:dyDescent="0.15">
      <c r="B30" s="67" t="s">
        <v>2</v>
      </c>
      <c r="C30" s="64" t="str">
        <f>'Ingreso Datos'!D2</f>
        <v>aabr</v>
      </c>
      <c r="D30" s="64"/>
      <c r="E30" s="64"/>
      <c r="F30" s="64"/>
      <c r="G30" s="66"/>
      <c r="J30" s="93" t="s">
        <v>28</v>
      </c>
      <c r="K30" s="68"/>
      <c r="L30" s="135">
        <f>'Ingreso Datos'!U2</f>
        <v>44792</v>
      </c>
      <c r="M30" s="136"/>
      <c r="N30" s="137"/>
    </row>
    <row r="32" spans="1:23" ht="20.25" x14ac:dyDescent="0.15">
      <c r="A32" s="57"/>
      <c r="B32" s="60" t="s">
        <v>34</v>
      </c>
      <c r="C32" s="61" t="s">
        <v>9</v>
      </c>
      <c r="D32" s="78" t="s">
        <v>61</v>
      </c>
      <c r="E32" s="79"/>
      <c r="F32" s="79"/>
      <c r="G32" s="79"/>
      <c r="H32" s="80"/>
      <c r="I32" s="99">
        <v>1</v>
      </c>
      <c r="J32" s="100">
        <v>2</v>
      </c>
      <c r="K32" s="100">
        <v>3</v>
      </c>
      <c r="L32" s="101">
        <v>4</v>
      </c>
      <c r="M32" s="101">
        <v>5</v>
      </c>
      <c r="N32" s="101">
        <v>6</v>
      </c>
      <c r="O32" s="101">
        <v>7</v>
      </c>
      <c r="P32" s="100">
        <v>8</v>
      </c>
      <c r="Q32" s="100">
        <v>9</v>
      </c>
      <c r="R32" s="102">
        <v>10</v>
      </c>
      <c r="S32" s="78" t="s">
        <v>62</v>
      </c>
      <c r="T32" s="79"/>
      <c r="U32" s="79"/>
      <c r="V32" s="90"/>
      <c r="W32" s="81"/>
    </row>
    <row r="33" spans="1:26" ht="14.25" customHeight="1" x14ac:dyDescent="0.15">
      <c r="A33" s="37" t="s">
        <v>10</v>
      </c>
      <c r="B33" s="39" t="s">
        <v>37</v>
      </c>
      <c r="C33" s="94">
        <f>'Ingreso Datos'!$AC3</f>
        <v>5</v>
      </c>
      <c r="D33" s="84" t="s">
        <v>63</v>
      </c>
      <c r="E33" s="85"/>
      <c r="F33" s="85"/>
      <c r="G33" s="85"/>
      <c r="H33" s="86"/>
      <c r="I33" s="75"/>
      <c r="J33" s="25"/>
      <c r="K33" s="25"/>
      <c r="L33" s="76"/>
      <c r="M33" s="76"/>
      <c r="N33" s="76"/>
      <c r="O33" s="76"/>
      <c r="P33" s="25"/>
      <c r="Q33" s="25"/>
      <c r="R33" s="77"/>
      <c r="S33" s="84" t="s">
        <v>64</v>
      </c>
      <c r="T33" s="85"/>
      <c r="U33" s="63"/>
      <c r="V33" s="38" t="s">
        <v>10</v>
      </c>
    </row>
    <row r="34" spans="1:26" ht="14.25" customHeight="1" x14ac:dyDescent="0.15">
      <c r="A34" s="33" t="s">
        <v>11</v>
      </c>
      <c r="B34" s="40" t="s">
        <v>39</v>
      </c>
      <c r="C34" s="94">
        <f>'Ingreso Datos'!$AC4</f>
        <v>3</v>
      </c>
      <c r="D34" s="84" t="s">
        <v>65</v>
      </c>
      <c r="E34" s="63"/>
      <c r="F34" s="63"/>
      <c r="G34" s="63"/>
      <c r="H34" s="65"/>
      <c r="I34" s="75"/>
      <c r="J34" s="25"/>
      <c r="K34" s="25"/>
      <c r="L34" s="76"/>
      <c r="M34" s="76"/>
      <c r="N34" s="76"/>
      <c r="O34" s="76"/>
      <c r="P34" s="25"/>
      <c r="Q34" s="25"/>
      <c r="R34" s="77"/>
      <c r="S34" s="84" t="s">
        <v>66</v>
      </c>
      <c r="T34" s="85"/>
      <c r="U34" s="63"/>
      <c r="V34" s="38" t="s">
        <v>11</v>
      </c>
    </row>
    <row r="35" spans="1:26" ht="14.25" customHeight="1" x14ac:dyDescent="0.15">
      <c r="A35" s="33" t="s">
        <v>12</v>
      </c>
      <c r="B35" s="40" t="s">
        <v>41</v>
      </c>
      <c r="C35" s="94">
        <f>'Ingreso Datos'!$AC5</f>
        <v>4</v>
      </c>
      <c r="D35" s="84" t="s">
        <v>67</v>
      </c>
      <c r="E35" s="63"/>
      <c r="F35" s="63"/>
      <c r="G35" s="63"/>
      <c r="H35" s="65"/>
      <c r="I35" s="75"/>
      <c r="J35" s="25"/>
      <c r="K35" s="25"/>
      <c r="L35" s="76"/>
      <c r="M35" s="76"/>
      <c r="N35" s="76"/>
      <c r="O35" s="76"/>
      <c r="P35" s="25"/>
      <c r="Q35" s="25"/>
      <c r="R35" s="77"/>
      <c r="S35" s="84" t="s">
        <v>68</v>
      </c>
      <c r="T35" s="85"/>
      <c r="U35" s="63"/>
      <c r="V35" s="38" t="s">
        <v>12</v>
      </c>
    </row>
    <row r="36" spans="1:26" ht="14.25" customHeight="1" x14ac:dyDescent="0.15">
      <c r="A36" s="33" t="s">
        <v>13</v>
      </c>
      <c r="B36" s="40" t="s">
        <v>42</v>
      </c>
      <c r="C36" s="94">
        <f>'Ingreso Datos'!$AC6</f>
        <v>3</v>
      </c>
      <c r="D36" s="84" t="s">
        <v>69</v>
      </c>
      <c r="E36" s="63"/>
      <c r="F36" s="63"/>
      <c r="G36" s="63"/>
      <c r="H36" s="65"/>
      <c r="I36" s="75"/>
      <c r="J36" s="25"/>
      <c r="K36" s="25"/>
      <c r="L36" s="76"/>
      <c r="M36" s="76"/>
      <c r="N36" s="76"/>
      <c r="O36" s="76"/>
      <c r="P36" s="25"/>
      <c r="Q36" s="25"/>
      <c r="R36" s="77"/>
      <c r="S36" s="84" t="s">
        <v>70</v>
      </c>
      <c r="T36" s="85"/>
      <c r="U36" s="63"/>
      <c r="V36" s="38" t="s">
        <v>13</v>
      </c>
    </row>
    <row r="37" spans="1:26" ht="14.25" customHeight="1" x14ac:dyDescent="0.15">
      <c r="A37" s="33" t="s">
        <v>8</v>
      </c>
      <c r="B37" s="40" t="s">
        <v>44</v>
      </c>
      <c r="C37" s="94">
        <f>'Ingreso Datos'!$AC7</f>
        <v>4</v>
      </c>
      <c r="D37" s="84" t="s">
        <v>71</v>
      </c>
      <c r="E37" s="63"/>
      <c r="F37" s="63"/>
      <c r="G37" s="63"/>
      <c r="H37" s="65"/>
      <c r="I37" s="75"/>
      <c r="J37" s="25"/>
      <c r="K37" s="25"/>
      <c r="L37" s="76"/>
      <c r="M37" s="76"/>
      <c r="N37" s="76"/>
      <c r="O37" s="76"/>
      <c r="P37" s="25"/>
      <c r="Q37" s="25"/>
      <c r="R37" s="77"/>
      <c r="S37" s="84" t="s">
        <v>72</v>
      </c>
      <c r="T37" s="85"/>
      <c r="U37" s="63"/>
      <c r="V37" s="38" t="s">
        <v>8</v>
      </c>
    </row>
    <row r="38" spans="1:26" ht="14.25" customHeight="1" x14ac:dyDescent="0.15">
      <c r="A38" s="33" t="s">
        <v>14</v>
      </c>
      <c r="B38" s="40" t="s">
        <v>46</v>
      </c>
      <c r="C38" s="94">
        <f>'Ingreso Datos'!$AC8</f>
        <v>8</v>
      </c>
      <c r="D38" s="84" t="s">
        <v>73</v>
      </c>
      <c r="E38" s="63"/>
      <c r="F38" s="63"/>
      <c r="G38" s="63"/>
      <c r="H38" s="65"/>
      <c r="I38" s="75"/>
      <c r="J38" s="25"/>
      <c r="K38" s="25"/>
      <c r="L38" s="76"/>
      <c r="M38" s="76"/>
      <c r="N38" s="76"/>
      <c r="O38" s="76"/>
      <c r="P38" s="25"/>
      <c r="Q38" s="25"/>
      <c r="R38" s="77"/>
      <c r="S38" s="84" t="s">
        <v>74</v>
      </c>
      <c r="T38" s="85"/>
      <c r="U38" s="63"/>
      <c r="V38" s="38" t="s">
        <v>14</v>
      </c>
    </row>
    <row r="39" spans="1:26" ht="14.25" customHeight="1" x14ac:dyDescent="0.15">
      <c r="A39" s="33" t="s">
        <v>15</v>
      </c>
      <c r="B39" s="40" t="s">
        <v>47</v>
      </c>
      <c r="C39" s="94">
        <f>'Ingreso Datos'!$AC9</f>
        <v>3</v>
      </c>
      <c r="D39" s="84" t="s">
        <v>75</v>
      </c>
      <c r="E39" s="63"/>
      <c r="F39" s="63"/>
      <c r="G39" s="63"/>
      <c r="H39" s="65"/>
      <c r="I39" s="75"/>
      <c r="J39" s="25"/>
      <c r="K39" s="25"/>
      <c r="L39" s="76"/>
      <c r="M39" s="76"/>
      <c r="N39" s="76"/>
      <c r="O39" s="76"/>
      <c r="P39" s="25"/>
      <c r="Q39" s="25"/>
      <c r="R39" s="76"/>
      <c r="S39" s="84" t="s">
        <v>76</v>
      </c>
      <c r="T39" s="85"/>
      <c r="U39" s="63"/>
      <c r="V39" s="38" t="s">
        <v>15</v>
      </c>
      <c r="W39" s="42"/>
      <c r="X39" s="42"/>
    </row>
    <row r="40" spans="1:26" ht="14.25" customHeight="1" x14ac:dyDescent="0.15">
      <c r="A40" s="33" t="s">
        <v>16</v>
      </c>
      <c r="B40" s="40" t="s">
        <v>48</v>
      </c>
      <c r="C40" s="94">
        <f>'Ingreso Datos'!$AC10</f>
        <v>4</v>
      </c>
      <c r="D40" s="84" t="s">
        <v>77</v>
      </c>
      <c r="E40" s="63"/>
      <c r="F40" s="63"/>
      <c r="G40" s="63"/>
      <c r="H40" s="65"/>
      <c r="I40" s="75"/>
      <c r="J40" s="25"/>
      <c r="K40" s="25"/>
      <c r="L40" s="76"/>
      <c r="M40" s="76"/>
      <c r="N40" s="76"/>
      <c r="O40" s="76"/>
      <c r="P40" s="25"/>
      <c r="Q40" s="25"/>
      <c r="R40" s="77"/>
      <c r="S40" s="84" t="s">
        <v>78</v>
      </c>
      <c r="T40" s="85"/>
      <c r="U40" s="63"/>
      <c r="V40" s="38" t="s">
        <v>16</v>
      </c>
    </row>
    <row r="41" spans="1:26" ht="14.25" customHeight="1" x14ac:dyDescent="0.15">
      <c r="A41" s="33" t="s">
        <v>17</v>
      </c>
      <c r="B41" s="40" t="s">
        <v>49</v>
      </c>
      <c r="C41" s="94">
        <f>'Ingreso Datos'!$AC11</f>
        <v>7</v>
      </c>
      <c r="D41" s="84" t="s">
        <v>79</v>
      </c>
      <c r="E41" s="63"/>
      <c r="F41" s="63"/>
      <c r="G41" s="63"/>
      <c r="H41" s="65"/>
      <c r="I41" s="75"/>
      <c r="J41" s="25"/>
      <c r="K41" s="25"/>
      <c r="L41" s="76"/>
      <c r="M41" s="76"/>
      <c r="N41" s="76"/>
      <c r="O41" s="76"/>
      <c r="P41" s="25"/>
      <c r="Q41" s="25"/>
      <c r="R41" s="77"/>
      <c r="S41" s="84" t="s">
        <v>80</v>
      </c>
      <c r="T41" s="85"/>
      <c r="U41" s="63"/>
      <c r="V41" s="38" t="s">
        <v>17</v>
      </c>
    </row>
    <row r="42" spans="1:26" ht="14.25" customHeight="1" x14ac:dyDescent="0.15">
      <c r="A42" s="33" t="s">
        <v>4</v>
      </c>
      <c r="B42" s="40" t="s">
        <v>50</v>
      </c>
      <c r="C42" s="94">
        <f>'Ingreso Datos'!$AC12</f>
        <v>7</v>
      </c>
      <c r="D42" s="84" t="s">
        <v>81</v>
      </c>
      <c r="E42" s="63"/>
      <c r="F42" s="63"/>
      <c r="G42" s="63"/>
      <c r="H42" s="65"/>
      <c r="I42" s="75"/>
      <c r="J42" s="25"/>
      <c r="K42" s="25"/>
      <c r="L42" s="76"/>
      <c r="M42" s="76"/>
      <c r="N42" s="76"/>
      <c r="O42" s="76"/>
      <c r="P42" s="25"/>
      <c r="Q42" s="25"/>
      <c r="R42" s="77"/>
      <c r="S42" s="84" t="s">
        <v>82</v>
      </c>
      <c r="T42" s="85"/>
      <c r="U42" s="63"/>
      <c r="V42" s="38" t="s">
        <v>4</v>
      </c>
    </row>
    <row r="43" spans="1:26" ht="14.25" customHeight="1" x14ac:dyDescent="0.15">
      <c r="A43" s="33" t="s">
        <v>18</v>
      </c>
      <c r="B43" s="40" t="s">
        <v>51</v>
      </c>
      <c r="C43" s="94">
        <f>'Ingreso Datos'!$AC13</f>
        <v>6</v>
      </c>
      <c r="D43" s="84" t="s">
        <v>83</v>
      </c>
      <c r="E43" s="63"/>
      <c r="F43" s="63"/>
      <c r="G43" s="63"/>
      <c r="H43" s="65"/>
      <c r="I43" s="75"/>
      <c r="J43" s="25"/>
      <c r="K43" s="25"/>
      <c r="L43" s="76"/>
      <c r="M43" s="76"/>
      <c r="N43" s="76"/>
      <c r="O43" s="76"/>
      <c r="P43" s="25"/>
      <c r="Q43" s="25"/>
      <c r="R43" s="76"/>
      <c r="S43" s="84" t="s">
        <v>84</v>
      </c>
      <c r="T43" s="85"/>
      <c r="U43" s="63"/>
      <c r="V43" s="38" t="s">
        <v>18</v>
      </c>
      <c r="W43" s="42"/>
      <c r="X43" s="42"/>
      <c r="Y43" s="42"/>
      <c r="Z43" s="42"/>
    </row>
    <row r="44" spans="1:26" ht="14.25" customHeight="1" x14ac:dyDescent="0.15">
      <c r="A44" s="33" t="s">
        <v>19</v>
      </c>
      <c r="B44" s="40" t="s">
        <v>52</v>
      </c>
      <c r="C44" s="94">
        <f>'Ingreso Datos'!$AC14</f>
        <v>6</v>
      </c>
      <c r="D44" s="84" t="s">
        <v>85</v>
      </c>
      <c r="E44" s="63"/>
      <c r="F44" s="63"/>
      <c r="G44" s="63"/>
      <c r="H44" s="65"/>
      <c r="I44" s="75"/>
      <c r="J44" s="25"/>
      <c r="K44" s="25"/>
      <c r="L44" s="76"/>
      <c r="M44" s="76"/>
      <c r="N44" s="76"/>
      <c r="O44" s="76"/>
      <c r="P44" s="25"/>
      <c r="Q44" s="25"/>
      <c r="R44" s="77"/>
      <c r="S44" s="84" t="s">
        <v>86</v>
      </c>
      <c r="T44" s="85"/>
      <c r="U44" s="63"/>
      <c r="V44" s="38" t="s">
        <v>19</v>
      </c>
    </row>
    <row r="45" spans="1:26" ht="14.25" customHeight="1" x14ac:dyDescent="0.15">
      <c r="A45" s="33" t="s">
        <v>20</v>
      </c>
      <c r="B45" s="40" t="s">
        <v>53</v>
      </c>
      <c r="C45" s="94">
        <f>'Ingreso Datos'!$AC15</f>
        <v>5</v>
      </c>
      <c r="D45" s="84" t="s">
        <v>87</v>
      </c>
      <c r="E45" s="63"/>
      <c r="F45" s="63"/>
      <c r="G45" s="63"/>
      <c r="H45" s="65"/>
      <c r="I45" s="75"/>
      <c r="J45" s="25"/>
      <c r="K45" s="25"/>
      <c r="L45" s="76"/>
      <c r="M45" s="76"/>
      <c r="N45" s="76"/>
      <c r="O45" s="76"/>
      <c r="P45" s="25"/>
      <c r="Q45" s="25"/>
      <c r="R45" s="77"/>
      <c r="S45" s="84" t="s">
        <v>88</v>
      </c>
      <c r="T45" s="85"/>
      <c r="U45" s="63"/>
      <c r="V45" s="38" t="s">
        <v>20</v>
      </c>
    </row>
    <row r="46" spans="1:26" ht="14.25" customHeight="1" x14ac:dyDescent="0.15">
      <c r="A46" s="33" t="s">
        <v>21</v>
      </c>
      <c r="B46" s="40" t="s">
        <v>54</v>
      </c>
      <c r="C46" s="94">
        <f>'Ingreso Datos'!$AC16</f>
        <v>9</v>
      </c>
      <c r="D46" s="84" t="s">
        <v>89</v>
      </c>
      <c r="E46" s="63"/>
      <c r="F46" s="63"/>
      <c r="G46" s="63"/>
      <c r="H46" s="65"/>
      <c r="I46" s="75"/>
      <c r="J46" s="25"/>
      <c r="K46" s="25"/>
      <c r="L46" s="76"/>
      <c r="M46" s="76"/>
      <c r="N46" s="76"/>
      <c r="O46" s="76"/>
      <c r="P46" s="25"/>
      <c r="Q46" s="25"/>
      <c r="R46" s="77"/>
      <c r="S46" s="84" t="s">
        <v>90</v>
      </c>
      <c r="T46" s="85"/>
      <c r="U46" s="63"/>
      <c r="V46" s="38" t="s">
        <v>21</v>
      </c>
    </row>
    <row r="47" spans="1:26" ht="14.25" customHeight="1" x14ac:dyDescent="0.15">
      <c r="A47" s="33" t="s">
        <v>22</v>
      </c>
      <c r="B47" s="40" t="s">
        <v>55</v>
      </c>
      <c r="C47" s="94">
        <f>'Ingreso Datos'!$AC17</f>
        <v>5</v>
      </c>
      <c r="D47" s="84" t="s">
        <v>91</v>
      </c>
      <c r="E47" s="63"/>
      <c r="F47" s="63"/>
      <c r="G47" s="63"/>
      <c r="H47" s="65"/>
      <c r="I47" s="75"/>
      <c r="J47" s="25"/>
      <c r="K47" s="25"/>
      <c r="L47" s="76"/>
      <c r="M47" s="76"/>
      <c r="N47" s="76"/>
      <c r="O47" s="76"/>
      <c r="P47" s="25"/>
      <c r="Q47" s="25"/>
      <c r="R47" s="77"/>
      <c r="S47" s="84" t="s">
        <v>92</v>
      </c>
      <c r="T47" s="85"/>
      <c r="U47" s="63"/>
      <c r="V47" s="38" t="s">
        <v>22</v>
      </c>
    </row>
    <row r="48" spans="1:26" ht="14.25" customHeight="1" x14ac:dyDescent="0.15">
      <c r="A48" s="35" t="s">
        <v>23</v>
      </c>
      <c r="B48" s="41" t="s">
        <v>56</v>
      </c>
      <c r="C48" s="94">
        <f>'Ingreso Datos'!$AC18</f>
        <v>4</v>
      </c>
      <c r="D48" s="84" t="s">
        <v>93</v>
      </c>
      <c r="E48" s="63"/>
      <c r="F48" s="63"/>
      <c r="G48" s="63"/>
      <c r="H48" s="132"/>
      <c r="I48" s="75"/>
      <c r="J48" s="25"/>
      <c r="K48" s="25"/>
      <c r="L48" s="76"/>
      <c r="M48" s="76"/>
      <c r="N48" s="76"/>
      <c r="O48" s="76"/>
      <c r="P48" s="25"/>
      <c r="Q48" s="25"/>
      <c r="R48" s="77"/>
      <c r="S48" s="87" t="s">
        <v>94</v>
      </c>
      <c r="T48" s="85"/>
      <c r="U48" s="63"/>
      <c r="V48" s="38" t="s">
        <v>23</v>
      </c>
    </row>
    <row r="49" spans="1:25" x14ac:dyDescent="0.15"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</row>
    <row r="50" spans="1:25" ht="20.25" x14ac:dyDescent="0.15">
      <c r="A50" s="57"/>
      <c r="B50" s="60" t="s">
        <v>95</v>
      </c>
      <c r="C50" s="61" t="s">
        <v>9</v>
      </c>
      <c r="D50" s="57"/>
      <c r="E50" s="88"/>
      <c r="F50" s="88"/>
      <c r="G50" s="88"/>
      <c r="H50" s="89"/>
      <c r="I50" s="99">
        <v>1</v>
      </c>
      <c r="J50" s="100">
        <v>2</v>
      </c>
      <c r="K50" s="100">
        <v>3</v>
      </c>
      <c r="L50" s="101">
        <v>4</v>
      </c>
      <c r="M50" s="101">
        <v>5</v>
      </c>
      <c r="N50" s="101">
        <v>6</v>
      </c>
      <c r="O50" s="101">
        <v>7</v>
      </c>
      <c r="P50" s="100">
        <v>8</v>
      </c>
      <c r="Q50" s="100">
        <v>9</v>
      </c>
      <c r="R50" s="102">
        <v>10</v>
      </c>
      <c r="S50" s="57"/>
      <c r="T50" s="88"/>
      <c r="U50" s="63"/>
      <c r="V50" s="91"/>
      <c r="W50" s="42"/>
      <c r="X50" s="42"/>
      <c r="Y50" s="42"/>
    </row>
    <row r="51" spans="1:25" ht="14.25" customHeight="1" x14ac:dyDescent="0.15">
      <c r="A51" s="37" t="s">
        <v>96</v>
      </c>
      <c r="B51" s="39" t="s">
        <v>97</v>
      </c>
      <c r="C51" s="94">
        <f>E25</f>
        <v>2.8</v>
      </c>
      <c r="D51" s="116" t="s">
        <v>98</v>
      </c>
      <c r="E51" s="88"/>
      <c r="F51" s="88"/>
      <c r="G51" s="88"/>
      <c r="H51" s="89"/>
      <c r="I51" s="75"/>
      <c r="J51" s="25"/>
      <c r="K51" s="25"/>
      <c r="L51" s="76"/>
      <c r="M51" s="76"/>
      <c r="N51" s="76"/>
      <c r="O51" s="76"/>
      <c r="P51" s="25"/>
      <c r="Q51" s="25"/>
      <c r="R51" s="77"/>
      <c r="S51" s="116" t="s">
        <v>99</v>
      </c>
      <c r="T51" s="119"/>
      <c r="U51" s="63"/>
      <c r="V51" s="38" t="s">
        <v>96</v>
      </c>
      <c r="W51" s="42"/>
      <c r="X51" s="42"/>
      <c r="Y51" s="42"/>
    </row>
    <row r="52" spans="1:25" ht="14.25" customHeight="1" x14ac:dyDescent="0.15">
      <c r="A52" s="33" t="s">
        <v>100</v>
      </c>
      <c r="B52" s="40" t="s">
        <v>101</v>
      </c>
      <c r="C52" s="94">
        <f>G25</f>
        <v>5.0999999999999996</v>
      </c>
      <c r="D52" s="116" t="s">
        <v>102</v>
      </c>
      <c r="E52" s="88"/>
      <c r="F52" s="88"/>
      <c r="G52" s="88"/>
      <c r="H52" s="89"/>
      <c r="I52" s="75"/>
      <c r="J52" s="25"/>
      <c r="K52" s="25"/>
      <c r="L52" s="76"/>
      <c r="M52" s="76"/>
      <c r="N52" s="76"/>
      <c r="O52" s="76"/>
      <c r="P52" s="25"/>
      <c r="Q52" s="25"/>
      <c r="R52" s="77"/>
      <c r="S52" s="116" t="s">
        <v>103</v>
      </c>
      <c r="T52" s="119"/>
      <c r="U52" s="63"/>
      <c r="V52" s="38" t="s">
        <v>100</v>
      </c>
      <c r="W52" s="42"/>
      <c r="X52" s="42"/>
      <c r="Y52" s="42"/>
    </row>
    <row r="53" spans="1:25" ht="14.25" customHeight="1" x14ac:dyDescent="0.15">
      <c r="A53" s="33" t="s">
        <v>104</v>
      </c>
      <c r="B53" s="40" t="s">
        <v>105</v>
      </c>
      <c r="C53" s="94">
        <f>I25</f>
        <v>5.7</v>
      </c>
      <c r="D53" s="116" t="s">
        <v>106</v>
      </c>
      <c r="E53" s="88"/>
      <c r="F53" s="88"/>
      <c r="G53" s="88"/>
      <c r="H53" s="89"/>
      <c r="I53" s="75"/>
      <c r="J53" s="25"/>
      <c r="K53" s="25"/>
      <c r="L53" s="76"/>
      <c r="M53" s="76"/>
      <c r="N53" s="76"/>
      <c r="O53" s="76"/>
      <c r="P53" s="25"/>
      <c r="Q53" s="25"/>
      <c r="R53" s="77"/>
      <c r="S53" s="116" t="s">
        <v>107</v>
      </c>
      <c r="T53" s="119"/>
      <c r="U53" s="88"/>
      <c r="V53" s="38" t="s">
        <v>104</v>
      </c>
    </row>
    <row r="54" spans="1:25" ht="14.25" customHeight="1" x14ac:dyDescent="0.15">
      <c r="A54" s="33" t="s">
        <v>108</v>
      </c>
      <c r="B54" s="40" t="s">
        <v>109</v>
      </c>
      <c r="C54" s="94">
        <f>K25</f>
        <v>2.6</v>
      </c>
      <c r="D54" s="116" t="s">
        <v>110</v>
      </c>
      <c r="E54" s="88"/>
      <c r="F54" s="88"/>
      <c r="G54" s="88"/>
      <c r="H54" s="89"/>
      <c r="I54" s="75"/>
      <c r="J54" s="25"/>
      <c r="K54" s="25"/>
      <c r="L54" s="76"/>
      <c r="M54" s="76"/>
      <c r="N54" s="76"/>
      <c r="O54" s="76"/>
      <c r="P54" s="25"/>
      <c r="Q54" s="25"/>
      <c r="R54" s="77"/>
      <c r="S54" s="116" t="s">
        <v>111</v>
      </c>
      <c r="T54" s="119"/>
      <c r="U54" s="88"/>
      <c r="V54" s="38" t="s">
        <v>108</v>
      </c>
    </row>
    <row r="55" spans="1:25" ht="14.25" customHeight="1" thickBot="1" x14ac:dyDescent="0.2">
      <c r="A55" s="103" t="s">
        <v>112</v>
      </c>
      <c r="B55" s="40" t="s">
        <v>113</v>
      </c>
      <c r="C55" s="104">
        <f>M25</f>
        <v>6.7</v>
      </c>
      <c r="D55" s="117" t="s">
        <v>114</v>
      </c>
      <c r="E55" s="105"/>
      <c r="F55" s="105"/>
      <c r="G55" s="105"/>
      <c r="H55" s="106"/>
      <c r="I55" s="75"/>
      <c r="J55" s="25"/>
      <c r="K55" s="25"/>
      <c r="L55" s="76"/>
      <c r="M55" s="76"/>
      <c r="N55" s="76"/>
      <c r="O55" s="76"/>
      <c r="P55" s="25"/>
      <c r="Q55" s="25"/>
      <c r="R55" s="77"/>
      <c r="S55" s="117" t="s">
        <v>115</v>
      </c>
      <c r="T55" s="120"/>
      <c r="U55" s="105"/>
      <c r="V55" s="107" t="s">
        <v>112</v>
      </c>
    </row>
    <row r="56" spans="1:25" ht="14.25" customHeight="1" x14ac:dyDescent="0.15">
      <c r="A56" s="108" t="s">
        <v>24</v>
      </c>
      <c r="B56" s="109" t="s">
        <v>116</v>
      </c>
      <c r="C56" s="110">
        <f>Q11</f>
        <v>4</v>
      </c>
      <c r="D56" s="118" t="s">
        <v>117</v>
      </c>
      <c r="E56" s="111"/>
      <c r="F56" s="111"/>
      <c r="G56" s="111"/>
      <c r="H56" s="111"/>
      <c r="I56" s="112"/>
      <c r="J56" s="111"/>
      <c r="K56" s="111"/>
      <c r="L56" s="113"/>
      <c r="M56" s="113"/>
      <c r="N56" s="113"/>
      <c r="O56" s="113"/>
      <c r="P56" s="111"/>
      <c r="Q56" s="111"/>
      <c r="R56" s="114"/>
      <c r="S56" s="118" t="s">
        <v>118</v>
      </c>
      <c r="T56" s="118"/>
      <c r="U56" s="111"/>
      <c r="V56" s="115" t="s">
        <v>24</v>
      </c>
    </row>
    <row r="58" spans="1:25" x14ac:dyDescent="0.15">
      <c r="A58" s="121" t="s">
        <v>119</v>
      </c>
    </row>
    <row r="59" spans="1:25" x14ac:dyDescent="0.15">
      <c r="B59" s="123" t="s">
        <v>120</v>
      </c>
      <c r="L59" s="124">
        <v>1</v>
      </c>
      <c r="M59" s="125" t="s">
        <v>121</v>
      </c>
      <c r="N59" s="125"/>
      <c r="O59" s="126"/>
    </row>
    <row r="60" spans="1:25" x14ac:dyDescent="0.15">
      <c r="B60" s="128"/>
      <c r="C60" s="123"/>
      <c r="L60" s="124" t="s">
        <v>122</v>
      </c>
      <c r="M60" s="125" t="s">
        <v>123</v>
      </c>
      <c r="N60" s="125"/>
      <c r="O60" s="126"/>
    </row>
    <row r="61" spans="1:25" x14ac:dyDescent="0.15">
      <c r="A61" s="123"/>
      <c r="B61" s="123"/>
      <c r="C61" s="123"/>
      <c r="L61" s="124" t="s">
        <v>124</v>
      </c>
      <c r="M61" s="125" t="s">
        <v>125</v>
      </c>
      <c r="N61" s="125"/>
      <c r="O61" s="126"/>
    </row>
    <row r="62" spans="1:25" x14ac:dyDescent="0.15">
      <c r="A62" s="123"/>
      <c r="B62" s="123"/>
      <c r="C62" s="123"/>
      <c r="L62" s="124" t="s">
        <v>126</v>
      </c>
      <c r="M62" s="127" t="s">
        <v>127</v>
      </c>
      <c r="N62" s="125"/>
      <c r="O62" s="126"/>
    </row>
    <row r="63" spans="1:25" x14ac:dyDescent="0.15">
      <c r="A63" s="123"/>
      <c r="B63" s="123"/>
      <c r="C63" s="123"/>
      <c r="L63" s="124" t="s">
        <v>128</v>
      </c>
      <c r="M63" s="127" t="s">
        <v>129</v>
      </c>
      <c r="N63" s="125"/>
      <c r="O63" s="126"/>
    </row>
    <row r="64" spans="1:25" x14ac:dyDescent="0.15">
      <c r="A64" s="123"/>
      <c r="B64" s="123"/>
      <c r="C64" s="123"/>
      <c r="L64" s="124" t="s">
        <v>130</v>
      </c>
      <c r="M64" s="127" t="s">
        <v>131</v>
      </c>
      <c r="N64" s="125"/>
      <c r="O64" s="126"/>
    </row>
    <row r="65" spans="1:15" x14ac:dyDescent="0.15">
      <c r="A65" s="123"/>
      <c r="B65" s="123"/>
      <c r="C65" s="123"/>
      <c r="J65" s="129"/>
      <c r="L65" s="124" t="s">
        <v>132</v>
      </c>
      <c r="M65" s="125" t="s">
        <v>133</v>
      </c>
      <c r="N65" s="125"/>
      <c r="O65" s="126"/>
    </row>
    <row r="66" spans="1:15" x14ac:dyDescent="0.15">
      <c r="A66" s="123"/>
      <c r="B66" s="123"/>
      <c r="C66" s="123"/>
    </row>
  </sheetData>
  <sheetProtection sheet="1" objects="1" scenarios="1"/>
  <phoneticPr fontId="9" type="noConversion"/>
  <pageMargins left="0.41" right="0.39370078740157483" top="0.39370078740157483" bottom="0.39370078740157483" header="0.51181102362204722" footer="0.51181102362204722"/>
  <pageSetup orientation="landscape" verticalDpi="300" r:id="rId1"/>
  <headerFooter alignWithMargins="0"/>
  <rowBreaks count="1" manualBreakCount="1">
    <brk id="27" max="655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2519-FCEA-46C2-97ED-FC0E795E9F60}">
  <dimension ref="A1:AG35"/>
  <sheetViews>
    <sheetView zoomScale="75" workbookViewId="0">
      <selection activeCell="AA32" sqref="AA32"/>
    </sheetView>
  </sheetViews>
  <sheetFormatPr defaultColWidth="11.4609375" defaultRowHeight="13.5" x14ac:dyDescent="0.15"/>
  <cols>
    <col min="1" max="1" width="6.3359375" style="138" customWidth="1"/>
    <col min="2" max="2" width="4.1796875" style="139" customWidth="1"/>
    <col min="3" max="3" width="4.3125" style="139" customWidth="1"/>
    <col min="4" max="4" width="4.44921875" style="139" customWidth="1"/>
    <col min="5" max="6" width="4.3125" style="139" customWidth="1"/>
    <col min="7" max="7" width="4.1796875" style="140" customWidth="1"/>
    <col min="8" max="8" width="4.3125" style="139" customWidth="1"/>
    <col min="9" max="9" width="4.3125" style="138" customWidth="1"/>
    <col min="10" max="10" width="4.44921875" style="139" customWidth="1"/>
    <col min="11" max="11" width="4.3125" style="141" customWidth="1"/>
    <col min="12" max="12" width="4.3125" style="139" customWidth="1"/>
    <col min="13" max="13" width="4.3125" style="141" customWidth="1"/>
    <col min="14" max="14" width="4.3125" style="139" customWidth="1"/>
    <col min="15" max="15" width="4.1796875" style="141" customWidth="1"/>
    <col min="16" max="16" width="4.44921875" style="139" customWidth="1"/>
    <col min="17" max="17" width="4.1796875" style="141" customWidth="1"/>
    <col min="18" max="18" width="4.3125" style="139" customWidth="1"/>
    <col min="19" max="19" width="4.44921875" style="141" customWidth="1"/>
    <col min="20" max="20" width="4.44921875" style="140" customWidth="1"/>
    <col min="21" max="21" width="4.44921875" style="138" customWidth="1"/>
    <col min="22" max="22" width="4.44921875" style="140" customWidth="1"/>
    <col min="23" max="23" width="4.44921875" style="138" customWidth="1"/>
    <col min="24" max="24" width="4.1796875" style="140" customWidth="1"/>
    <col min="25" max="25" width="4.1796875" style="138" customWidth="1"/>
    <col min="26" max="26" width="4.44921875" style="140" customWidth="1"/>
    <col min="27" max="27" width="4.44921875" style="138" customWidth="1"/>
    <col min="28" max="28" width="4.44921875" style="140" customWidth="1"/>
    <col min="29" max="29" width="4.44921875" style="141" customWidth="1"/>
    <col min="30" max="30" width="4.44921875" style="140" customWidth="1"/>
    <col min="31" max="31" width="4.44921875" style="141" customWidth="1"/>
    <col min="32" max="32" width="4.1796875" style="140" customWidth="1"/>
    <col min="33" max="33" width="4.1796875" style="141" customWidth="1"/>
    <col min="34" max="16384" width="11.4609375" style="140"/>
  </cols>
  <sheetData>
    <row r="1" spans="1:33" x14ac:dyDescent="0.15">
      <c r="T1" s="139"/>
      <c r="U1" s="141"/>
      <c r="V1" s="139"/>
      <c r="W1" s="141"/>
      <c r="X1" s="139"/>
      <c r="Y1" s="141"/>
      <c r="Z1" s="139"/>
      <c r="AA1" s="141"/>
      <c r="AB1" s="139"/>
    </row>
    <row r="2" spans="1:33" x14ac:dyDescent="0.15">
      <c r="T2" s="139"/>
      <c r="U2" s="141"/>
      <c r="V2" s="139"/>
      <c r="W2" s="141"/>
      <c r="X2" s="139"/>
      <c r="Y2" s="141"/>
      <c r="Z2" s="139"/>
      <c r="AA2" s="141"/>
      <c r="AB2" s="139"/>
    </row>
    <row r="3" spans="1:33" x14ac:dyDescent="0.15">
      <c r="T3" s="139"/>
      <c r="U3" s="141"/>
      <c r="V3" s="139"/>
      <c r="W3" s="141"/>
      <c r="X3" s="139"/>
      <c r="Y3" s="141"/>
      <c r="Z3" s="139"/>
      <c r="AA3" s="141"/>
      <c r="AB3" s="139"/>
    </row>
    <row r="4" spans="1:33" x14ac:dyDescent="0.15">
      <c r="A4" s="142" t="s">
        <v>134</v>
      </c>
      <c r="B4" s="143"/>
      <c r="C4" s="143"/>
      <c r="D4" s="143"/>
      <c r="E4" s="143"/>
      <c r="F4" s="143"/>
      <c r="G4" s="143"/>
      <c r="H4" s="143"/>
      <c r="I4" s="142"/>
      <c r="J4" s="143"/>
      <c r="K4" s="142"/>
      <c r="L4" s="143"/>
      <c r="M4" s="142"/>
      <c r="N4" s="143"/>
      <c r="O4" s="142"/>
      <c r="P4" s="143"/>
      <c r="Q4" s="142"/>
      <c r="R4" s="143"/>
      <c r="S4" s="142"/>
      <c r="T4" s="143"/>
      <c r="U4" s="142"/>
      <c r="V4" s="143"/>
      <c r="W4" s="142"/>
      <c r="X4" s="143"/>
      <c r="Y4" s="142"/>
      <c r="Z4" s="143"/>
      <c r="AA4" s="142"/>
      <c r="AB4" s="143"/>
      <c r="AC4" s="142"/>
      <c r="AD4" s="143"/>
      <c r="AE4" s="142"/>
      <c r="AF4" s="143"/>
      <c r="AG4" s="142"/>
    </row>
    <row r="5" spans="1:33" s="138" customFormat="1" ht="14.25" thickBot="1" x14ac:dyDescent="0.2">
      <c r="B5" s="141"/>
      <c r="C5" s="141"/>
      <c r="D5" s="141"/>
      <c r="E5" s="141"/>
      <c r="F5" s="141"/>
      <c r="G5" s="141"/>
      <c r="H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E5" s="141"/>
      <c r="AG5" s="141"/>
    </row>
    <row r="6" spans="1:33" x14ac:dyDescent="0.15">
      <c r="A6" s="144" t="s">
        <v>135</v>
      </c>
      <c r="B6" s="145" t="s">
        <v>10</v>
      </c>
      <c r="C6" s="146"/>
      <c r="D6" s="145" t="s">
        <v>11</v>
      </c>
      <c r="E6" s="146"/>
      <c r="F6" s="147" t="s">
        <v>12</v>
      </c>
      <c r="G6" s="146"/>
      <c r="H6" s="145" t="s">
        <v>13</v>
      </c>
      <c r="I6" s="148"/>
      <c r="J6" s="149" t="s">
        <v>8</v>
      </c>
      <c r="K6" s="150"/>
      <c r="L6" s="149" t="s">
        <v>14</v>
      </c>
      <c r="M6" s="148"/>
      <c r="N6" s="149" t="s">
        <v>15</v>
      </c>
      <c r="O6" s="150"/>
      <c r="P6" s="151" t="s">
        <v>16</v>
      </c>
      <c r="Q6" s="152"/>
      <c r="R6" s="145" t="s">
        <v>17</v>
      </c>
      <c r="S6" s="147"/>
      <c r="T6" s="145" t="s">
        <v>4</v>
      </c>
      <c r="U6" s="153"/>
      <c r="V6" s="145" t="s">
        <v>18</v>
      </c>
      <c r="W6" s="153"/>
      <c r="X6" s="145" t="s">
        <v>19</v>
      </c>
      <c r="Y6" s="147"/>
      <c r="Z6" s="145" t="s">
        <v>20</v>
      </c>
      <c r="AA6" s="153"/>
      <c r="AB6" s="145" t="s">
        <v>21</v>
      </c>
      <c r="AC6" s="153"/>
      <c r="AD6" s="154" t="s">
        <v>22</v>
      </c>
      <c r="AE6" s="153"/>
      <c r="AF6" s="154" t="s">
        <v>23</v>
      </c>
      <c r="AG6" s="153"/>
    </row>
    <row r="7" spans="1:33" s="138" customFormat="1" x14ac:dyDescent="0.15">
      <c r="A7" s="155"/>
      <c r="B7" s="156">
        <v>0</v>
      </c>
      <c r="C7" s="157">
        <v>1</v>
      </c>
      <c r="D7" s="156">
        <v>0</v>
      </c>
      <c r="E7" s="158">
        <v>1</v>
      </c>
      <c r="F7" s="159">
        <v>0</v>
      </c>
      <c r="G7" s="160">
        <v>1</v>
      </c>
      <c r="H7" s="159">
        <v>0</v>
      </c>
      <c r="I7" s="161">
        <v>1</v>
      </c>
      <c r="J7" s="159">
        <v>0</v>
      </c>
      <c r="K7" s="162">
        <v>1</v>
      </c>
      <c r="L7" s="156">
        <v>0</v>
      </c>
      <c r="M7" s="161">
        <v>1</v>
      </c>
      <c r="N7" s="159">
        <v>0</v>
      </c>
      <c r="O7" s="162">
        <v>2</v>
      </c>
      <c r="P7" s="156">
        <v>0</v>
      </c>
      <c r="Q7" s="161">
        <v>1</v>
      </c>
      <c r="R7" s="156">
        <v>0</v>
      </c>
      <c r="S7" s="158">
        <v>1</v>
      </c>
      <c r="T7" s="156">
        <v>0</v>
      </c>
      <c r="U7" s="157">
        <v>3</v>
      </c>
      <c r="V7" s="156">
        <v>0</v>
      </c>
      <c r="W7" s="157">
        <v>1</v>
      </c>
      <c r="X7" s="156">
        <v>0</v>
      </c>
      <c r="Y7" s="158">
        <v>2</v>
      </c>
      <c r="Z7" s="156">
        <v>0</v>
      </c>
      <c r="AA7" s="157">
        <v>1</v>
      </c>
      <c r="AB7" s="156">
        <v>0</v>
      </c>
      <c r="AC7" s="157">
        <v>3</v>
      </c>
      <c r="AD7" s="156">
        <v>0</v>
      </c>
      <c r="AE7" s="157">
        <v>1</v>
      </c>
      <c r="AF7" s="156">
        <v>0</v>
      </c>
      <c r="AG7" s="157">
        <v>2</v>
      </c>
    </row>
    <row r="8" spans="1:33" s="165" customFormat="1" x14ac:dyDescent="0.15">
      <c r="A8" s="163"/>
      <c r="B8" s="156">
        <v>1</v>
      </c>
      <c r="C8" s="157">
        <v>1</v>
      </c>
      <c r="D8" s="156">
        <v>1</v>
      </c>
      <c r="E8" s="158">
        <v>1</v>
      </c>
      <c r="F8" s="156">
        <v>1</v>
      </c>
      <c r="G8" s="164">
        <v>1</v>
      </c>
      <c r="H8" s="156">
        <v>1</v>
      </c>
      <c r="I8" s="161">
        <v>1</v>
      </c>
      <c r="J8" s="156">
        <v>1</v>
      </c>
      <c r="K8" s="162">
        <v>1</v>
      </c>
      <c r="L8" s="156">
        <v>1</v>
      </c>
      <c r="M8" s="161">
        <v>1</v>
      </c>
      <c r="N8" s="156">
        <v>1</v>
      </c>
      <c r="O8" s="162">
        <v>2</v>
      </c>
      <c r="P8" s="156">
        <v>1</v>
      </c>
      <c r="Q8" s="161">
        <v>1</v>
      </c>
      <c r="R8" s="156">
        <v>1</v>
      </c>
      <c r="S8" s="162">
        <v>2</v>
      </c>
      <c r="T8" s="156">
        <v>1</v>
      </c>
      <c r="U8" s="161">
        <v>4</v>
      </c>
      <c r="V8" s="156">
        <v>1</v>
      </c>
      <c r="W8" s="161">
        <v>2</v>
      </c>
      <c r="X8" s="156">
        <v>1</v>
      </c>
      <c r="Y8" s="162">
        <v>3</v>
      </c>
      <c r="Z8" s="156">
        <v>1</v>
      </c>
      <c r="AA8" s="161">
        <v>1</v>
      </c>
      <c r="AB8" s="156">
        <v>1</v>
      </c>
      <c r="AC8" s="161">
        <v>4</v>
      </c>
      <c r="AD8" s="156">
        <v>1</v>
      </c>
      <c r="AE8" s="161">
        <v>1</v>
      </c>
      <c r="AF8" s="156">
        <v>1</v>
      </c>
      <c r="AG8" s="161">
        <v>3</v>
      </c>
    </row>
    <row r="9" spans="1:33" x14ac:dyDescent="0.15">
      <c r="B9" s="156">
        <v>2</v>
      </c>
      <c r="C9" s="157">
        <v>1</v>
      </c>
      <c r="D9" s="156">
        <v>2</v>
      </c>
      <c r="E9" s="158">
        <v>1</v>
      </c>
      <c r="F9" s="159">
        <v>2</v>
      </c>
      <c r="G9" s="160">
        <v>2</v>
      </c>
      <c r="H9" s="159">
        <v>2</v>
      </c>
      <c r="I9" s="161">
        <v>1</v>
      </c>
      <c r="J9" s="159">
        <v>2</v>
      </c>
      <c r="K9" s="162">
        <v>1</v>
      </c>
      <c r="L9" s="156">
        <v>2</v>
      </c>
      <c r="M9" s="161">
        <v>1</v>
      </c>
      <c r="N9" s="159">
        <v>2</v>
      </c>
      <c r="O9" s="162">
        <v>3</v>
      </c>
      <c r="P9" s="156">
        <v>2</v>
      </c>
      <c r="Q9" s="161">
        <v>1</v>
      </c>
      <c r="R9" s="156">
        <v>2</v>
      </c>
      <c r="S9" s="158">
        <v>2</v>
      </c>
      <c r="T9" s="156">
        <v>2</v>
      </c>
      <c r="U9" s="157">
        <v>4</v>
      </c>
      <c r="V9" s="156">
        <v>2</v>
      </c>
      <c r="W9" s="157">
        <v>2</v>
      </c>
      <c r="X9" s="156">
        <v>2</v>
      </c>
      <c r="Y9" s="158">
        <v>3</v>
      </c>
      <c r="Z9" s="156">
        <v>2</v>
      </c>
      <c r="AA9" s="157">
        <v>1</v>
      </c>
      <c r="AB9" s="156">
        <v>2</v>
      </c>
      <c r="AC9" s="157">
        <v>4</v>
      </c>
      <c r="AD9" s="156">
        <v>2</v>
      </c>
      <c r="AE9" s="157">
        <v>1</v>
      </c>
      <c r="AF9" s="156">
        <v>2</v>
      </c>
      <c r="AG9" s="157">
        <v>3</v>
      </c>
    </row>
    <row r="10" spans="1:33" x14ac:dyDescent="0.15">
      <c r="B10" s="156">
        <v>3</v>
      </c>
      <c r="C10" s="157">
        <v>1</v>
      </c>
      <c r="D10" s="156">
        <v>3</v>
      </c>
      <c r="E10" s="158">
        <v>1</v>
      </c>
      <c r="F10" s="156">
        <v>3</v>
      </c>
      <c r="G10" s="160">
        <v>2</v>
      </c>
      <c r="H10" s="156">
        <v>3</v>
      </c>
      <c r="I10" s="161">
        <v>1</v>
      </c>
      <c r="J10" s="156">
        <v>3</v>
      </c>
      <c r="K10" s="162">
        <v>1</v>
      </c>
      <c r="L10" s="156">
        <v>3</v>
      </c>
      <c r="M10" s="161">
        <v>1</v>
      </c>
      <c r="N10" s="156">
        <v>3</v>
      </c>
      <c r="O10" s="162">
        <v>3</v>
      </c>
      <c r="P10" s="156">
        <v>3</v>
      </c>
      <c r="Q10" s="161">
        <v>2</v>
      </c>
      <c r="R10" s="156">
        <v>3</v>
      </c>
      <c r="S10" s="158">
        <v>3</v>
      </c>
      <c r="T10" s="156">
        <v>3</v>
      </c>
      <c r="U10" s="157">
        <v>4</v>
      </c>
      <c r="V10" s="156">
        <v>3</v>
      </c>
      <c r="W10" s="157">
        <v>3</v>
      </c>
      <c r="X10" s="156">
        <v>3</v>
      </c>
      <c r="Y10" s="158">
        <v>3</v>
      </c>
      <c r="Z10" s="156">
        <v>3</v>
      </c>
      <c r="AA10" s="157">
        <v>1</v>
      </c>
      <c r="AB10" s="156">
        <v>3</v>
      </c>
      <c r="AC10" s="157">
        <v>6</v>
      </c>
      <c r="AD10" s="156">
        <v>3</v>
      </c>
      <c r="AE10" s="157">
        <v>2</v>
      </c>
      <c r="AF10" s="156">
        <v>3</v>
      </c>
      <c r="AG10" s="157">
        <v>4</v>
      </c>
    </row>
    <row r="11" spans="1:33" x14ac:dyDescent="0.15">
      <c r="B11" s="156">
        <v>4</v>
      </c>
      <c r="C11" s="157">
        <v>1</v>
      </c>
      <c r="D11" s="156">
        <v>4</v>
      </c>
      <c r="E11" s="158">
        <v>1</v>
      </c>
      <c r="F11" s="159">
        <v>4</v>
      </c>
      <c r="G11" s="160">
        <v>3</v>
      </c>
      <c r="H11" s="159">
        <v>4</v>
      </c>
      <c r="I11" s="161">
        <v>1</v>
      </c>
      <c r="J11" s="159">
        <v>4</v>
      </c>
      <c r="K11" s="162">
        <v>1</v>
      </c>
      <c r="L11" s="156">
        <v>4</v>
      </c>
      <c r="M11" s="161">
        <v>2</v>
      </c>
      <c r="N11" s="159">
        <v>4</v>
      </c>
      <c r="O11" s="162">
        <v>4</v>
      </c>
      <c r="P11" s="156">
        <v>4</v>
      </c>
      <c r="Q11" s="161">
        <v>2</v>
      </c>
      <c r="R11" s="156">
        <v>4</v>
      </c>
      <c r="S11" s="158">
        <v>3</v>
      </c>
      <c r="T11" s="156">
        <v>4</v>
      </c>
      <c r="U11" s="157">
        <v>4</v>
      </c>
      <c r="V11" s="156">
        <v>4</v>
      </c>
      <c r="W11" s="157">
        <v>3</v>
      </c>
      <c r="X11" s="156">
        <v>4</v>
      </c>
      <c r="Y11" s="158">
        <v>4</v>
      </c>
      <c r="Z11" s="156">
        <v>4</v>
      </c>
      <c r="AA11" s="157">
        <v>1</v>
      </c>
      <c r="AB11" s="156">
        <v>4</v>
      </c>
      <c r="AC11" s="157">
        <v>6</v>
      </c>
      <c r="AD11" s="156">
        <v>4</v>
      </c>
      <c r="AE11" s="157">
        <v>2</v>
      </c>
      <c r="AF11" s="156">
        <v>4</v>
      </c>
      <c r="AG11" s="157">
        <v>4</v>
      </c>
    </row>
    <row r="12" spans="1:33" x14ac:dyDescent="0.15">
      <c r="B12" s="156">
        <v>5</v>
      </c>
      <c r="C12" s="157">
        <v>1</v>
      </c>
      <c r="D12" s="156">
        <v>5</v>
      </c>
      <c r="E12" s="158">
        <v>2</v>
      </c>
      <c r="F12" s="156">
        <v>5</v>
      </c>
      <c r="G12" s="160">
        <v>3</v>
      </c>
      <c r="H12" s="156">
        <v>5</v>
      </c>
      <c r="I12" s="161">
        <v>2</v>
      </c>
      <c r="J12" s="156">
        <v>5</v>
      </c>
      <c r="K12" s="162">
        <v>2</v>
      </c>
      <c r="L12" s="156">
        <v>5</v>
      </c>
      <c r="M12" s="161">
        <v>3</v>
      </c>
      <c r="N12" s="156">
        <v>5</v>
      </c>
      <c r="O12" s="162">
        <v>4</v>
      </c>
      <c r="P12" s="156">
        <v>5</v>
      </c>
      <c r="Q12" s="161">
        <v>2</v>
      </c>
      <c r="R12" s="156">
        <v>5</v>
      </c>
      <c r="S12" s="158">
        <v>3</v>
      </c>
      <c r="T12" s="156">
        <v>5</v>
      </c>
      <c r="U12" s="157">
        <v>4</v>
      </c>
      <c r="V12" s="156">
        <v>5</v>
      </c>
      <c r="W12" s="157">
        <v>4</v>
      </c>
      <c r="X12" s="156">
        <v>5</v>
      </c>
      <c r="Y12" s="158">
        <v>4</v>
      </c>
      <c r="Z12" s="156">
        <v>5</v>
      </c>
      <c r="AA12" s="157">
        <v>2</v>
      </c>
      <c r="AB12" s="156">
        <v>5</v>
      </c>
      <c r="AC12" s="157">
        <v>7</v>
      </c>
      <c r="AD12" s="156">
        <v>5</v>
      </c>
      <c r="AE12" s="157">
        <v>2</v>
      </c>
      <c r="AF12" s="156">
        <v>5</v>
      </c>
      <c r="AG12" s="157">
        <v>4</v>
      </c>
    </row>
    <row r="13" spans="1:33" x14ac:dyDescent="0.15">
      <c r="B13" s="156">
        <v>6</v>
      </c>
      <c r="C13" s="157">
        <v>1</v>
      </c>
      <c r="D13" s="156">
        <v>6</v>
      </c>
      <c r="E13" s="158">
        <v>3</v>
      </c>
      <c r="F13" s="159">
        <v>6</v>
      </c>
      <c r="G13" s="160">
        <v>3</v>
      </c>
      <c r="H13" s="159">
        <v>6</v>
      </c>
      <c r="I13" s="161">
        <v>2</v>
      </c>
      <c r="J13" s="159">
        <v>6</v>
      </c>
      <c r="K13" s="162">
        <v>2</v>
      </c>
      <c r="L13" s="156">
        <v>6</v>
      </c>
      <c r="M13" s="161">
        <v>3</v>
      </c>
      <c r="N13" s="159">
        <v>6</v>
      </c>
      <c r="O13" s="162">
        <v>4</v>
      </c>
      <c r="P13" s="156">
        <v>6</v>
      </c>
      <c r="Q13" s="161">
        <v>3</v>
      </c>
      <c r="R13" s="156">
        <v>6</v>
      </c>
      <c r="S13" s="158">
        <v>4</v>
      </c>
      <c r="T13" s="156">
        <v>6</v>
      </c>
      <c r="U13" s="157">
        <v>5</v>
      </c>
      <c r="V13" s="156">
        <v>6</v>
      </c>
      <c r="W13" s="157">
        <v>4</v>
      </c>
      <c r="X13" s="156">
        <v>6</v>
      </c>
      <c r="Y13" s="158">
        <v>4</v>
      </c>
      <c r="Z13" s="156">
        <v>6</v>
      </c>
      <c r="AA13" s="157">
        <v>2</v>
      </c>
      <c r="AB13" s="156">
        <v>6</v>
      </c>
      <c r="AC13" s="157">
        <v>7</v>
      </c>
      <c r="AD13" s="156">
        <v>6</v>
      </c>
      <c r="AE13" s="157">
        <v>3</v>
      </c>
      <c r="AF13" s="156">
        <v>6</v>
      </c>
      <c r="AG13" s="157">
        <v>4</v>
      </c>
    </row>
    <row r="14" spans="1:33" x14ac:dyDescent="0.15">
      <c r="B14" s="156">
        <v>7</v>
      </c>
      <c r="C14" s="157">
        <v>2</v>
      </c>
      <c r="D14" s="156">
        <v>7</v>
      </c>
      <c r="E14" s="158">
        <v>3</v>
      </c>
      <c r="F14" s="156">
        <v>7</v>
      </c>
      <c r="G14" s="160">
        <v>4</v>
      </c>
      <c r="H14" s="156">
        <v>7</v>
      </c>
      <c r="I14" s="161">
        <v>2</v>
      </c>
      <c r="J14" s="156">
        <v>7</v>
      </c>
      <c r="K14" s="162">
        <v>3</v>
      </c>
      <c r="L14" s="156">
        <v>7</v>
      </c>
      <c r="M14" s="161">
        <v>3</v>
      </c>
      <c r="N14" s="156">
        <v>7</v>
      </c>
      <c r="O14" s="162">
        <v>4</v>
      </c>
      <c r="P14" s="156">
        <v>7</v>
      </c>
      <c r="Q14" s="161">
        <v>3</v>
      </c>
      <c r="R14" s="156">
        <v>7</v>
      </c>
      <c r="S14" s="158">
        <v>4</v>
      </c>
      <c r="T14" s="156">
        <v>7</v>
      </c>
      <c r="U14" s="157">
        <v>6</v>
      </c>
      <c r="V14" s="156">
        <v>7</v>
      </c>
      <c r="W14" s="157">
        <v>4</v>
      </c>
      <c r="X14" s="156">
        <v>7</v>
      </c>
      <c r="Y14" s="158">
        <v>4</v>
      </c>
      <c r="Z14" s="156">
        <v>7</v>
      </c>
      <c r="AA14" s="157">
        <v>2</v>
      </c>
      <c r="AB14" s="156">
        <v>7</v>
      </c>
      <c r="AC14" s="157">
        <v>7</v>
      </c>
      <c r="AD14" s="156">
        <v>7</v>
      </c>
      <c r="AE14" s="157">
        <v>3</v>
      </c>
      <c r="AF14" s="156">
        <v>7</v>
      </c>
      <c r="AG14" s="157">
        <v>4</v>
      </c>
    </row>
    <row r="15" spans="1:33" x14ac:dyDescent="0.15">
      <c r="B15" s="156">
        <v>8</v>
      </c>
      <c r="C15" s="157">
        <v>2</v>
      </c>
      <c r="D15" s="156">
        <v>8</v>
      </c>
      <c r="E15" s="158">
        <v>4</v>
      </c>
      <c r="F15" s="159">
        <v>8</v>
      </c>
      <c r="G15" s="160">
        <v>4</v>
      </c>
      <c r="H15" s="159">
        <v>8</v>
      </c>
      <c r="I15" s="161">
        <v>3</v>
      </c>
      <c r="J15" s="159">
        <v>8</v>
      </c>
      <c r="K15" s="162">
        <v>3</v>
      </c>
      <c r="L15" s="156">
        <v>8</v>
      </c>
      <c r="M15" s="161">
        <v>4</v>
      </c>
      <c r="N15" s="159">
        <v>8</v>
      </c>
      <c r="O15" s="162">
        <v>4</v>
      </c>
      <c r="P15" s="156">
        <v>8</v>
      </c>
      <c r="Q15" s="161">
        <v>3</v>
      </c>
      <c r="R15" s="156">
        <v>8</v>
      </c>
      <c r="S15" s="158">
        <v>4</v>
      </c>
      <c r="T15" s="156">
        <v>8</v>
      </c>
      <c r="U15" s="157">
        <v>6</v>
      </c>
      <c r="V15" s="156">
        <v>8</v>
      </c>
      <c r="W15" s="157">
        <v>4</v>
      </c>
      <c r="X15" s="156">
        <v>8</v>
      </c>
      <c r="Y15" s="158">
        <v>4</v>
      </c>
      <c r="Z15" s="156">
        <v>8</v>
      </c>
      <c r="AA15" s="157">
        <v>3</v>
      </c>
      <c r="AB15" s="156">
        <v>8</v>
      </c>
      <c r="AC15" s="157">
        <v>7</v>
      </c>
      <c r="AD15" s="156">
        <v>8</v>
      </c>
      <c r="AE15" s="157">
        <v>3</v>
      </c>
      <c r="AF15" s="156">
        <v>8</v>
      </c>
      <c r="AG15" s="157">
        <v>4</v>
      </c>
    </row>
    <row r="16" spans="1:33" x14ac:dyDescent="0.15">
      <c r="B16" s="156">
        <v>9</v>
      </c>
      <c r="C16" s="157">
        <v>3</v>
      </c>
      <c r="D16" s="156">
        <v>9</v>
      </c>
      <c r="E16" s="158">
        <v>4</v>
      </c>
      <c r="F16" s="156">
        <v>9</v>
      </c>
      <c r="G16" s="160">
        <v>4</v>
      </c>
      <c r="H16" s="156">
        <v>9</v>
      </c>
      <c r="I16" s="161">
        <v>3</v>
      </c>
      <c r="J16" s="156">
        <v>9</v>
      </c>
      <c r="K16" s="162">
        <v>3</v>
      </c>
      <c r="L16" s="156">
        <v>9</v>
      </c>
      <c r="M16" s="161">
        <v>4</v>
      </c>
      <c r="N16" s="156">
        <v>9</v>
      </c>
      <c r="O16" s="162">
        <v>4</v>
      </c>
      <c r="P16" s="156">
        <v>9</v>
      </c>
      <c r="Q16" s="161">
        <v>4</v>
      </c>
      <c r="R16" s="156">
        <v>9</v>
      </c>
      <c r="S16" s="158">
        <v>4</v>
      </c>
      <c r="T16" s="156">
        <v>9</v>
      </c>
      <c r="U16" s="157">
        <v>6</v>
      </c>
      <c r="V16" s="156">
        <v>9</v>
      </c>
      <c r="W16" s="157">
        <v>5</v>
      </c>
      <c r="X16" s="156">
        <v>9</v>
      </c>
      <c r="Y16" s="158">
        <v>4</v>
      </c>
      <c r="Z16" s="156">
        <v>9</v>
      </c>
      <c r="AA16" s="157">
        <v>3</v>
      </c>
      <c r="AB16" s="156">
        <v>9</v>
      </c>
      <c r="AC16" s="157">
        <v>8</v>
      </c>
      <c r="AD16" s="156">
        <v>9</v>
      </c>
      <c r="AE16" s="157">
        <v>4</v>
      </c>
      <c r="AF16" s="156">
        <v>9</v>
      </c>
      <c r="AG16" s="157">
        <v>5</v>
      </c>
    </row>
    <row r="17" spans="2:33" x14ac:dyDescent="0.15">
      <c r="B17" s="156">
        <v>10</v>
      </c>
      <c r="C17" s="157">
        <v>3</v>
      </c>
      <c r="D17" s="156">
        <v>10</v>
      </c>
      <c r="E17" s="158">
        <v>6</v>
      </c>
      <c r="F17" s="159">
        <v>10</v>
      </c>
      <c r="G17" s="160">
        <v>4</v>
      </c>
      <c r="H17" s="159">
        <v>10</v>
      </c>
      <c r="I17" s="161">
        <v>4</v>
      </c>
      <c r="J17" s="159">
        <v>10</v>
      </c>
      <c r="K17" s="162">
        <v>4</v>
      </c>
      <c r="L17" s="156">
        <v>10</v>
      </c>
      <c r="M17" s="161">
        <v>4</v>
      </c>
      <c r="N17" s="159">
        <v>10</v>
      </c>
      <c r="O17" s="162">
        <v>4</v>
      </c>
      <c r="P17" s="156">
        <v>10</v>
      </c>
      <c r="Q17" s="161">
        <v>4</v>
      </c>
      <c r="R17" s="156">
        <v>10</v>
      </c>
      <c r="S17" s="158">
        <v>5</v>
      </c>
      <c r="T17" s="156">
        <v>10</v>
      </c>
      <c r="U17" s="157">
        <v>6</v>
      </c>
      <c r="V17" s="156">
        <v>10</v>
      </c>
      <c r="W17" s="157">
        <v>6</v>
      </c>
      <c r="X17" s="156">
        <v>10</v>
      </c>
      <c r="Y17" s="158">
        <v>4</v>
      </c>
      <c r="Z17" s="156">
        <v>10</v>
      </c>
      <c r="AA17" s="157">
        <v>3</v>
      </c>
      <c r="AB17" s="156">
        <v>10</v>
      </c>
      <c r="AC17" s="157">
        <v>8</v>
      </c>
      <c r="AD17" s="156">
        <v>10</v>
      </c>
      <c r="AE17" s="157">
        <v>4</v>
      </c>
      <c r="AF17" s="156">
        <v>10</v>
      </c>
      <c r="AG17" s="157">
        <v>6</v>
      </c>
    </row>
    <row r="18" spans="2:33" x14ac:dyDescent="0.15">
      <c r="B18" s="156">
        <v>11</v>
      </c>
      <c r="C18" s="157">
        <v>3</v>
      </c>
      <c r="D18" s="156">
        <v>11</v>
      </c>
      <c r="E18" s="158">
        <v>7</v>
      </c>
      <c r="F18" s="156">
        <v>11</v>
      </c>
      <c r="G18" s="160">
        <v>4</v>
      </c>
      <c r="H18" s="156">
        <v>11</v>
      </c>
      <c r="I18" s="161">
        <v>4</v>
      </c>
      <c r="J18" s="156">
        <v>11</v>
      </c>
      <c r="K18" s="162">
        <v>4</v>
      </c>
      <c r="L18" s="156">
        <v>11</v>
      </c>
      <c r="M18" s="161">
        <v>4</v>
      </c>
      <c r="N18" s="156">
        <v>11</v>
      </c>
      <c r="O18" s="162">
        <v>4</v>
      </c>
      <c r="P18" s="156">
        <v>11</v>
      </c>
      <c r="Q18" s="161">
        <v>4</v>
      </c>
      <c r="R18" s="156">
        <v>11</v>
      </c>
      <c r="S18" s="158">
        <v>5</v>
      </c>
      <c r="T18" s="156">
        <v>11</v>
      </c>
      <c r="U18" s="157">
        <v>7</v>
      </c>
      <c r="V18" s="156">
        <v>11</v>
      </c>
      <c r="W18" s="157">
        <v>6</v>
      </c>
      <c r="X18" s="156">
        <v>11</v>
      </c>
      <c r="Y18" s="158">
        <v>5</v>
      </c>
      <c r="Z18" s="156">
        <v>11</v>
      </c>
      <c r="AA18" s="157">
        <v>4</v>
      </c>
      <c r="AB18" s="156">
        <v>11</v>
      </c>
      <c r="AC18" s="157">
        <v>8</v>
      </c>
      <c r="AD18" s="156">
        <v>11</v>
      </c>
      <c r="AE18" s="157">
        <v>4</v>
      </c>
      <c r="AF18" s="156">
        <v>11</v>
      </c>
      <c r="AG18" s="157">
        <v>6</v>
      </c>
    </row>
    <row r="19" spans="2:33" x14ac:dyDescent="0.15">
      <c r="B19" s="156">
        <v>12</v>
      </c>
      <c r="C19" s="157">
        <v>4</v>
      </c>
      <c r="D19" s="156">
        <v>12</v>
      </c>
      <c r="E19" s="158">
        <v>8</v>
      </c>
      <c r="F19" s="159">
        <v>12</v>
      </c>
      <c r="G19" s="160">
        <v>5</v>
      </c>
      <c r="H19" s="159">
        <v>12</v>
      </c>
      <c r="I19" s="161">
        <v>4</v>
      </c>
      <c r="J19" s="159">
        <v>12</v>
      </c>
      <c r="K19" s="162">
        <v>4</v>
      </c>
      <c r="L19" s="156">
        <v>12</v>
      </c>
      <c r="M19" s="161">
        <v>5</v>
      </c>
      <c r="N19" s="159">
        <v>12</v>
      </c>
      <c r="O19" s="162">
        <v>5</v>
      </c>
      <c r="P19" s="156">
        <v>12</v>
      </c>
      <c r="Q19" s="161">
        <v>4</v>
      </c>
      <c r="R19" s="156">
        <v>12</v>
      </c>
      <c r="S19" s="158">
        <v>6</v>
      </c>
      <c r="T19" s="156">
        <v>12</v>
      </c>
      <c r="U19" s="157">
        <v>7</v>
      </c>
      <c r="V19" s="156">
        <v>12</v>
      </c>
      <c r="W19" s="157">
        <v>6</v>
      </c>
      <c r="X19" s="156">
        <v>12</v>
      </c>
      <c r="Y19" s="158">
        <v>5</v>
      </c>
      <c r="Z19" s="156">
        <v>12</v>
      </c>
      <c r="AA19" s="157">
        <v>4</v>
      </c>
      <c r="AB19" s="156">
        <v>12</v>
      </c>
      <c r="AC19" s="157">
        <v>8</v>
      </c>
      <c r="AD19" s="156">
        <v>12</v>
      </c>
      <c r="AE19" s="157">
        <v>4</v>
      </c>
      <c r="AF19" s="156">
        <v>12</v>
      </c>
      <c r="AG19" s="157">
        <v>6</v>
      </c>
    </row>
    <row r="20" spans="2:33" x14ac:dyDescent="0.15">
      <c r="B20" s="156">
        <v>13</v>
      </c>
      <c r="C20" s="157">
        <v>4</v>
      </c>
      <c r="D20" s="156">
        <v>13</v>
      </c>
      <c r="E20" s="158">
        <v>9</v>
      </c>
      <c r="F20" s="156">
        <v>13</v>
      </c>
      <c r="G20" s="160">
        <v>5</v>
      </c>
      <c r="H20" s="156">
        <v>13</v>
      </c>
      <c r="I20" s="161">
        <v>4</v>
      </c>
      <c r="J20" s="156">
        <v>13</v>
      </c>
      <c r="K20" s="162">
        <v>4</v>
      </c>
      <c r="L20" s="156">
        <v>13</v>
      </c>
      <c r="M20" s="161">
        <v>6</v>
      </c>
      <c r="N20" s="156">
        <v>13</v>
      </c>
      <c r="O20" s="162">
        <v>5</v>
      </c>
      <c r="P20" s="156">
        <v>13</v>
      </c>
      <c r="Q20" s="161">
        <v>4</v>
      </c>
      <c r="R20" s="156">
        <v>13</v>
      </c>
      <c r="S20" s="158">
        <v>6</v>
      </c>
      <c r="T20" s="156">
        <v>13</v>
      </c>
      <c r="U20" s="157">
        <v>7</v>
      </c>
      <c r="V20" s="156">
        <v>13</v>
      </c>
      <c r="W20" s="157">
        <v>6</v>
      </c>
      <c r="X20" s="156">
        <v>13</v>
      </c>
      <c r="Y20" s="158">
        <v>5</v>
      </c>
      <c r="Z20" s="156">
        <v>13</v>
      </c>
      <c r="AA20" s="157">
        <v>4</v>
      </c>
      <c r="AB20" s="156">
        <v>13</v>
      </c>
      <c r="AC20" s="157">
        <v>9</v>
      </c>
      <c r="AD20" s="156">
        <v>13</v>
      </c>
      <c r="AE20" s="157">
        <v>4</v>
      </c>
      <c r="AF20" s="156">
        <v>13</v>
      </c>
      <c r="AG20" s="157">
        <v>7</v>
      </c>
    </row>
    <row r="21" spans="2:33" x14ac:dyDescent="0.15">
      <c r="B21" s="156">
        <v>14</v>
      </c>
      <c r="C21" s="157">
        <v>4</v>
      </c>
      <c r="D21" s="156">
        <v>14</v>
      </c>
      <c r="E21" s="158">
        <v>10</v>
      </c>
      <c r="F21" s="159">
        <v>14</v>
      </c>
      <c r="G21" s="160">
        <v>6</v>
      </c>
      <c r="H21" s="159">
        <v>14</v>
      </c>
      <c r="I21" s="161">
        <v>5</v>
      </c>
      <c r="J21" s="159">
        <v>14</v>
      </c>
      <c r="K21" s="162">
        <v>4</v>
      </c>
      <c r="L21" s="156">
        <v>14</v>
      </c>
      <c r="M21" s="161">
        <v>6</v>
      </c>
      <c r="N21" s="159">
        <v>14</v>
      </c>
      <c r="O21" s="162">
        <v>6</v>
      </c>
      <c r="P21" s="156">
        <v>14</v>
      </c>
      <c r="Q21" s="161">
        <v>4</v>
      </c>
      <c r="R21" s="156">
        <v>14</v>
      </c>
      <c r="S21" s="158">
        <v>6</v>
      </c>
      <c r="T21" s="156">
        <v>14</v>
      </c>
      <c r="U21" s="157">
        <v>8</v>
      </c>
      <c r="V21" s="156">
        <v>14</v>
      </c>
      <c r="W21" s="157">
        <v>7</v>
      </c>
      <c r="X21" s="156">
        <v>14</v>
      </c>
      <c r="Y21" s="158">
        <v>6</v>
      </c>
      <c r="Z21" s="156">
        <v>14</v>
      </c>
      <c r="AA21" s="157">
        <v>4</v>
      </c>
      <c r="AB21" s="156">
        <v>14</v>
      </c>
      <c r="AC21" s="157">
        <v>9</v>
      </c>
      <c r="AD21" s="156">
        <v>14</v>
      </c>
      <c r="AE21" s="157">
        <v>5</v>
      </c>
      <c r="AF21" s="156">
        <v>14</v>
      </c>
      <c r="AG21" s="157">
        <v>7</v>
      </c>
    </row>
    <row r="22" spans="2:33" ht="14.25" thickBot="1" x14ac:dyDescent="0.2">
      <c r="B22" s="156">
        <v>15</v>
      </c>
      <c r="C22" s="157">
        <v>4</v>
      </c>
      <c r="D22" s="166">
        <v>15</v>
      </c>
      <c r="E22" s="167">
        <v>10</v>
      </c>
      <c r="F22" s="156">
        <v>15</v>
      </c>
      <c r="G22" s="160">
        <v>6</v>
      </c>
      <c r="H22" s="156">
        <v>15</v>
      </c>
      <c r="I22" s="161">
        <v>6</v>
      </c>
      <c r="J22" s="156">
        <v>15</v>
      </c>
      <c r="K22" s="162">
        <v>5</v>
      </c>
      <c r="L22" s="156">
        <v>15</v>
      </c>
      <c r="M22" s="161">
        <v>6</v>
      </c>
      <c r="N22" s="156">
        <v>15</v>
      </c>
      <c r="O22" s="162">
        <v>6</v>
      </c>
      <c r="P22" s="156">
        <v>15</v>
      </c>
      <c r="Q22" s="161">
        <v>5</v>
      </c>
      <c r="R22" s="156">
        <v>15</v>
      </c>
      <c r="S22" s="158">
        <v>7</v>
      </c>
      <c r="T22" s="156">
        <v>15</v>
      </c>
      <c r="U22" s="157">
        <v>8</v>
      </c>
      <c r="V22" s="156">
        <v>15</v>
      </c>
      <c r="W22" s="157">
        <v>7</v>
      </c>
      <c r="X22" s="156">
        <v>15</v>
      </c>
      <c r="Y22" s="158">
        <v>6</v>
      </c>
      <c r="Z22" s="156">
        <v>15</v>
      </c>
      <c r="AA22" s="157">
        <v>5</v>
      </c>
      <c r="AB22" s="156">
        <v>15</v>
      </c>
      <c r="AC22" s="157">
        <v>9</v>
      </c>
      <c r="AD22" s="156">
        <v>15</v>
      </c>
      <c r="AE22" s="157">
        <v>6</v>
      </c>
      <c r="AF22" s="156">
        <v>15</v>
      </c>
      <c r="AG22" s="157">
        <v>7</v>
      </c>
    </row>
    <row r="23" spans="2:33" x14ac:dyDescent="0.15">
      <c r="B23" s="156">
        <v>16</v>
      </c>
      <c r="C23" s="157">
        <v>5</v>
      </c>
      <c r="D23" s="168"/>
      <c r="E23" s="141"/>
      <c r="F23" s="159">
        <v>16</v>
      </c>
      <c r="G23" s="160">
        <v>6</v>
      </c>
      <c r="H23" s="159">
        <v>16</v>
      </c>
      <c r="I23" s="161">
        <v>7</v>
      </c>
      <c r="J23" s="159">
        <v>16</v>
      </c>
      <c r="K23" s="162">
        <v>6</v>
      </c>
      <c r="L23" s="156">
        <v>16</v>
      </c>
      <c r="M23" s="161">
        <v>7</v>
      </c>
      <c r="N23" s="159">
        <v>16</v>
      </c>
      <c r="O23" s="162">
        <v>6</v>
      </c>
      <c r="P23" s="156">
        <v>16</v>
      </c>
      <c r="Q23" s="161">
        <v>6</v>
      </c>
      <c r="R23" s="156">
        <v>16</v>
      </c>
      <c r="S23" s="158">
        <v>7</v>
      </c>
      <c r="T23" s="156">
        <v>16</v>
      </c>
      <c r="U23" s="157">
        <v>8</v>
      </c>
      <c r="V23" s="156">
        <v>16</v>
      </c>
      <c r="W23" s="157">
        <v>7</v>
      </c>
      <c r="X23" s="156">
        <v>16</v>
      </c>
      <c r="Y23" s="158">
        <v>6</v>
      </c>
      <c r="Z23" s="156">
        <v>16</v>
      </c>
      <c r="AA23" s="157">
        <v>6</v>
      </c>
      <c r="AB23" s="156">
        <v>16</v>
      </c>
      <c r="AC23" s="157">
        <v>10</v>
      </c>
      <c r="AD23" s="156">
        <v>16</v>
      </c>
      <c r="AE23" s="157">
        <v>6</v>
      </c>
      <c r="AF23" s="156">
        <v>16</v>
      </c>
      <c r="AG23" s="157">
        <v>8</v>
      </c>
    </row>
    <row r="24" spans="2:33" x14ac:dyDescent="0.15">
      <c r="B24" s="156">
        <v>17</v>
      </c>
      <c r="C24" s="157">
        <v>6</v>
      </c>
      <c r="D24" s="168"/>
      <c r="E24" s="141"/>
      <c r="F24" s="156">
        <v>17</v>
      </c>
      <c r="G24" s="160">
        <v>7</v>
      </c>
      <c r="H24" s="156">
        <v>17</v>
      </c>
      <c r="I24" s="161">
        <v>7</v>
      </c>
      <c r="J24" s="156">
        <v>17</v>
      </c>
      <c r="K24" s="162">
        <v>7</v>
      </c>
      <c r="L24" s="156">
        <v>17</v>
      </c>
      <c r="M24" s="161">
        <v>7</v>
      </c>
      <c r="N24" s="156">
        <v>17</v>
      </c>
      <c r="O24" s="162">
        <v>6</v>
      </c>
      <c r="P24" s="156">
        <v>17</v>
      </c>
      <c r="Q24" s="161">
        <v>6</v>
      </c>
      <c r="R24" s="156">
        <v>17</v>
      </c>
      <c r="S24" s="158">
        <v>8</v>
      </c>
      <c r="T24" s="156">
        <v>17</v>
      </c>
      <c r="U24" s="157">
        <v>8</v>
      </c>
      <c r="V24" s="156">
        <v>17</v>
      </c>
      <c r="W24" s="157">
        <v>8</v>
      </c>
      <c r="X24" s="156">
        <v>17</v>
      </c>
      <c r="Y24" s="158">
        <v>7</v>
      </c>
      <c r="Z24" s="156">
        <v>17</v>
      </c>
      <c r="AA24" s="157">
        <v>6</v>
      </c>
      <c r="AB24" s="156">
        <v>17</v>
      </c>
      <c r="AC24" s="157">
        <v>10</v>
      </c>
      <c r="AD24" s="156">
        <v>17</v>
      </c>
      <c r="AE24" s="157">
        <v>7</v>
      </c>
      <c r="AF24" s="156">
        <v>17</v>
      </c>
      <c r="AG24" s="157">
        <v>8</v>
      </c>
    </row>
    <row r="25" spans="2:33" x14ac:dyDescent="0.15">
      <c r="B25" s="156">
        <v>18</v>
      </c>
      <c r="C25" s="157">
        <v>6</v>
      </c>
      <c r="D25" s="168"/>
      <c r="E25" s="141"/>
      <c r="F25" s="159">
        <v>18</v>
      </c>
      <c r="G25" s="160">
        <v>7</v>
      </c>
      <c r="H25" s="159">
        <v>18</v>
      </c>
      <c r="I25" s="161">
        <v>8</v>
      </c>
      <c r="J25" s="159">
        <v>18</v>
      </c>
      <c r="K25" s="162">
        <v>7</v>
      </c>
      <c r="L25" s="156">
        <v>18</v>
      </c>
      <c r="M25" s="161">
        <v>7</v>
      </c>
      <c r="N25" s="159">
        <v>18</v>
      </c>
      <c r="O25" s="162">
        <v>7</v>
      </c>
      <c r="P25" s="156">
        <v>18</v>
      </c>
      <c r="Q25" s="161">
        <v>6</v>
      </c>
      <c r="R25" s="156">
        <v>18</v>
      </c>
      <c r="S25" s="158">
        <v>8</v>
      </c>
      <c r="T25" s="156">
        <v>18</v>
      </c>
      <c r="U25" s="157">
        <v>9</v>
      </c>
      <c r="V25" s="156">
        <v>18</v>
      </c>
      <c r="W25" s="157">
        <v>8</v>
      </c>
      <c r="X25" s="156">
        <v>18</v>
      </c>
      <c r="Y25" s="158">
        <v>7</v>
      </c>
      <c r="Z25" s="156">
        <v>18</v>
      </c>
      <c r="AA25" s="157">
        <v>6</v>
      </c>
      <c r="AB25" s="156">
        <v>18</v>
      </c>
      <c r="AC25" s="157">
        <v>10</v>
      </c>
      <c r="AD25" s="156">
        <v>18</v>
      </c>
      <c r="AE25" s="157">
        <v>7</v>
      </c>
      <c r="AF25" s="156">
        <v>18</v>
      </c>
      <c r="AG25" s="157">
        <v>9</v>
      </c>
    </row>
    <row r="26" spans="2:33" x14ac:dyDescent="0.15">
      <c r="B26" s="156">
        <v>19</v>
      </c>
      <c r="C26" s="157">
        <v>7</v>
      </c>
      <c r="D26" s="168"/>
      <c r="E26" s="141"/>
      <c r="F26" s="156">
        <v>19</v>
      </c>
      <c r="G26" s="160">
        <v>8</v>
      </c>
      <c r="H26" s="156">
        <v>19</v>
      </c>
      <c r="I26" s="161">
        <v>9</v>
      </c>
      <c r="J26" s="156">
        <v>19</v>
      </c>
      <c r="K26" s="162">
        <v>8</v>
      </c>
      <c r="L26" s="156">
        <v>19</v>
      </c>
      <c r="M26" s="161">
        <v>8</v>
      </c>
      <c r="N26" s="156">
        <v>19</v>
      </c>
      <c r="O26" s="162">
        <v>7</v>
      </c>
      <c r="P26" s="156">
        <v>19</v>
      </c>
      <c r="Q26" s="161">
        <v>7</v>
      </c>
      <c r="R26" s="156">
        <v>19</v>
      </c>
      <c r="S26" s="158">
        <v>9</v>
      </c>
      <c r="T26" s="156">
        <v>19</v>
      </c>
      <c r="U26" s="157">
        <v>9</v>
      </c>
      <c r="V26" s="156">
        <v>19</v>
      </c>
      <c r="W26" s="157">
        <v>9</v>
      </c>
      <c r="X26" s="156">
        <v>19</v>
      </c>
      <c r="Y26" s="158">
        <v>8</v>
      </c>
      <c r="Z26" s="156">
        <v>19</v>
      </c>
      <c r="AA26" s="157">
        <v>7</v>
      </c>
      <c r="AB26" s="156">
        <v>19</v>
      </c>
      <c r="AC26" s="157">
        <v>10</v>
      </c>
      <c r="AD26" s="156">
        <v>19</v>
      </c>
      <c r="AE26" s="157">
        <v>8</v>
      </c>
      <c r="AF26" s="156">
        <v>19</v>
      </c>
      <c r="AG26" s="157">
        <v>9</v>
      </c>
    </row>
    <row r="27" spans="2:33" ht="14.25" thickBot="1" x14ac:dyDescent="0.2">
      <c r="B27" s="156">
        <v>20</v>
      </c>
      <c r="C27" s="157">
        <v>8</v>
      </c>
      <c r="D27" s="168"/>
      <c r="E27" s="141"/>
      <c r="F27" s="169">
        <v>20</v>
      </c>
      <c r="G27" s="170">
        <v>9</v>
      </c>
      <c r="H27" s="169">
        <v>20</v>
      </c>
      <c r="I27" s="171">
        <v>10</v>
      </c>
      <c r="J27" s="169">
        <v>20</v>
      </c>
      <c r="K27" s="172">
        <v>9</v>
      </c>
      <c r="L27" s="156">
        <v>20</v>
      </c>
      <c r="M27" s="161">
        <v>8</v>
      </c>
      <c r="N27" s="169">
        <v>20</v>
      </c>
      <c r="O27" s="172">
        <v>8</v>
      </c>
      <c r="P27" s="156">
        <v>20</v>
      </c>
      <c r="Q27" s="161">
        <v>8</v>
      </c>
      <c r="R27" s="166">
        <v>20</v>
      </c>
      <c r="S27" s="167">
        <v>10</v>
      </c>
      <c r="T27" s="156">
        <v>20</v>
      </c>
      <c r="U27" s="157">
        <v>10</v>
      </c>
      <c r="V27" s="166">
        <v>20</v>
      </c>
      <c r="W27" s="173">
        <v>10</v>
      </c>
      <c r="X27" s="166">
        <v>20</v>
      </c>
      <c r="Y27" s="167">
        <v>9</v>
      </c>
      <c r="Z27" s="156">
        <v>20</v>
      </c>
      <c r="AA27" s="157">
        <v>7</v>
      </c>
      <c r="AB27" s="166">
        <v>20</v>
      </c>
      <c r="AC27" s="173">
        <v>10</v>
      </c>
      <c r="AD27" s="166">
        <v>20</v>
      </c>
      <c r="AE27" s="173">
        <v>9</v>
      </c>
      <c r="AF27" s="166">
        <v>20</v>
      </c>
      <c r="AG27" s="173">
        <v>10</v>
      </c>
    </row>
    <row r="28" spans="2:33" x14ac:dyDescent="0.15">
      <c r="B28" s="156">
        <v>21</v>
      </c>
      <c r="C28" s="157">
        <v>8</v>
      </c>
      <c r="D28" s="168"/>
      <c r="E28" s="141"/>
      <c r="L28" s="156">
        <v>21</v>
      </c>
      <c r="M28" s="157">
        <v>9</v>
      </c>
      <c r="P28" s="156">
        <v>21</v>
      </c>
      <c r="Q28" s="157">
        <v>8</v>
      </c>
      <c r="R28" s="168"/>
      <c r="T28" s="156">
        <v>21</v>
      </c>
      <c r="U28" s="157">
        <v>10</v>
      </c>
      <c r="V28" s="168"/>
      <c r="W28" s="141"/>
      <c r="X28" s="168"/>
      <c r="Y28" s="141"/>
      <c r="Z28" s="156">
        <v>21</v>
      </c>
      <c r="AA28" s="157">
        <v>8</v>
      </c>
      <c r="AB28" s="139"/>
    </row>
    <row r="29" spans="2:33" ht="14.25" thickBot="1" x14ac:dyDescent="0.2">
      <c r="B29" s="166">
        <v>22</v>
      </c>
      <c r="C29" s="173">
        <v>9</v>
      </c>
      <c r="D29" s="168"/>
      <c r="E29" s="141"/>
      <c r="L29" s="166">
        <v>22</v>
      </c>
      <c r="M29" s="173">
        <v>10</v>
      </c>
      <c r="P29" s="166">
        <v>22</v>
      </c>
      <c r="Q29" s="173">
        <v>9</v>
      </c>
      <c r="R29" s="168"/>
      <c r="T29" s="166">
        <v>22</v>
      </c>
      <c r="U29" s="173">
        <v>10</v>
      </c>
      <c r="V29" s="168"/>
      <c r="W29" s="141"/>
      <c r="X29" s="168"/>
      <c r="Y29" s="141"/>
      <c r="Z29" s="156">
        <v>22</v>
      </c>
      <c r="AA29" s="157">
        <v>8</v>
      </c>
      <c r="AB29" s="139"/>
    </row>
    <row r="30" spans="2:33" x14ac:dyDescent="0.15">
      <c r="T30" s="139"/>
      <c r="U30" s="141"/>
      <c r="V30" s="139"/>
      <c r="W30" s="141"/>
      <c r="X30" s="139"/>
      <c r="Y30" s="141"/>
      <c r="Z30" s="156">
        <v>23</v>
      </c>
      <c r="AA30" s="157">
        <v>8</v>
      </c>
      <c r="AB30" s="139"/>
    </row>
    <row r="31" spans="2:33" x14ac:dyDescent="0.15">
      <c r="Z31" s="156">
        <v>24</v>
      </c>
      <c r="AA31" s="157">
        <v>9</v>
      </c>
    </row>
    <row r="32" spans="2:33" x14ac:dyDescent="0.15">
      <c r="Z32" s="156">
        <v>25</v>
      </c>
      <c r="AA32" s="157">
        <v>10</v>
      </c>
    </row>
    <row r="33" spans="26:27" x14ac:dyDescent="0.15">
      <c r="Z33" s="156">
        <v>26</v>
      </c>
      <c r="AA33" s="157">
        <v>10</v>
      </c>
    </row>
    <row r="34" spans="26:27" x14ac:dyDescent="0.15">
      <c r="Z34" s="156">
        <v>27</v>
      </c>
      <c r="AA34" s="157">
        <v>10</v>
      </c>
    </row>
    <row r="35" spans="26:27" ht="14.25" thickBot="1" x14ac:dyDescent="0.2">
      <c r="Z35" s="166">
        <v>28</v>
      </c>
      <c r="AA35" s="173">
        <v>10</v>
      </c>
    </row>
  </sheetData>
  <sheetProtection sheet="1" objects="1" scenarios="1"/>
  <phoneticPr fontId="9" type="noConversion"/>
  <pageMargins left="0.75" right="0.75" top="0.68" bottom="1" header="0" footer="0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19A-362E-47FC-A279-8F8FE07CF260}">
  <dimension ref="A1:AG36"/>
  <sheetViews>
    <sheetView topLeftCell="B1" zoomScale="75" workbookViewId="0">
      <selection activeCell="O19" sqref="O19"/>
    </sheetView>
  </sheetViews>
  <sheetFormatPr defaultColWidth="11.4609375" defaultRowHeight="13.5" x14ac:dyDescent="0.15"/>
  <cols>
    <col min="1" max="1" width="4.44921875" style="138" customWidth="1"/>
    <col min="2" max="2" width="4.44921875" style="139" customWidth="1"/>
    <col min="3" max="3" width="4.3125" style="139" customWidth="1"/>
    <col min="4" max="4" width="4.44921875" style="139" customWidth="1"/>
    <col min="5" max="6" width="4.3125" style="139" customWidth="1"/>
    <col min="7" max="7" width="4.1796875" style="139" customWidth="1"/>
    <col min="8" max="8" width="4.3125" style="139" customWidth="1"/>
    <col min="9" max="9" width="4.3125" style="138" customWidth="1"/>
    <col min="10" max="10" width="4.44921875" style="139" customWidth="1"/>
    <col min="11" max="11" width="4.3125" style="141" customWidth="1"/>
    <col min="12" max="12" width="4.3125" style="139" customWidth="1"/>
    <col min="13" max="13" width="4.3125" style="141" customWidth="1"/>
    <col min="14" max="14" width="4.3125" style="139" customWidth="1"/>
    <col min="15" max="15" width="4.1796875" style="141" customWidth="1"/>
    <col min="16" max="16" width="4.44921875" style="139" customWidth="1"/>
    <col min="17" max="17" width="4.1796875" style="141" customWidth="1"/>
    <col min="18" max="18" width="4.3125" style="139" customWidth="1"/>
    <col min="19" max="19" width="4.44921875" style="141" customWidth="1"/>
    <col min="20" max="20" width="4.44921875" style="140" customWidth="1"/>
    <col min="21" max="21" width="4.44921875" style="138" customWidth="1"/>
    <col min="22" max="22" width="4.44921875" style="140" customWidth="1"/>
    <col min="23" max="23" width="4.44921875" style="138" customWidth="1"/>
    <col min="24" max="24" width="4.1796875" style="140" customWidth="1"/>
    <col min="25" max="25" width="4.1796875" style="138" customWidth="1"/>
    <col min="26" max="26" width="4.44921875" style="140" customWidth="1"/>
    <col min="27" max="27" width="4.44921875" style="138" customWidth="1"/>
    <col min="28" max="28" width="4.44921875" style="140" customWidth="1"/>
    <col min="29" max="29" width="4.44921875" style="141" customWidth="1"/>
    <col min="30" max="30" width="4.44921875" style="140" customWidth="1"/>
    <col min="31" max="31" width="4.44921875" style="141" customWidth="1"/>
    <col min="32" max="32" width="4.1796875" style="140" customWidth="1"/>
    <col min="33" max="33" width="4.1796875" style="141" customWidth="1"/>
    <col min="34" max="16384" width="11.4609375" style="140"/>
  </cols>
  <sheetData>
    <row r="1" spans="1:33" x14ac:dyDescent="0.15">
      <c r="T1" s="139"/>
      <c r="U1" s="141"/>
      <c r="V1" s="139"/>
      <c r="W1" s="141"/>
      <c r="X1" s="139"/>
      <c r="Y1" s="141"/>
      <c r="Z1" s="139"/>
      <c r="AA1" s="141"/>
      <c r="AB1" s="139"/>
    </row>
    <row r="2" spans="1:33" x14ac:dyDescent="0.15">
      <c r="T2" s="139"/>
      <c r="U2" s="141"/>
      <c r="V2" s="139"/>
      <c r="W2" s="141"/>
      <c r="X2" s="139"/>
      <c r="Y2" s="141"/>
      <c r="Z2" s="139"/>
      <c r="AA2" s="141"/>
      <c r="AB2" s="139"/>
    </row>
    <row r="3" spans="1:33" x14ac:dyDescent="0.15">
      <c r="T3" s="139"/>
      <c r="U3" s="141"/>
      <c r="V3" s="139"/>
      <c r="W3" s="141"/>
      <c r="X3" s="139"/>
      <c r="Y3" s="141"/>
      <c r="Z3" s="139"/>
      <c r="AA3" s="141"/>
      <c r="AB3" s="139"/>
    </row>
    <row r="4" spans="1:33" x14ac:dyDescent="0.15">
      <c r="A4" s="142" t="s">
        <v>134</v>
      </c>
      <c r="B4" s="143"/>
      <c r="C4" s="143"/>
      <c r="D4" s="143"/>
      <c r="E4" s="143"/>
      <c r="F4" s="143"/>
      <c r="G4" s="143"/>
      <c r="H4" s="143"/>
      <c r="I4" s="142"/>
      <c r="J4" s="143"/>
      <c r="K4" s="142"/>
      <c r="L4" s="143"/>
      <c r="M4" s="142"/>
      <c r="N4" s="143"/>
      <c r="O4" s="142"/>
      <c r="P4" s="143"/>
      <c r="Q4" s="142"/>
      <c r="R4" s="143"/>
      <c r="S4" s="142"/>
      <c r="T4" s="143"/>
      <c r="U4" s="142"/>
      <c r="V4" s="143"/>
      <c r="W4" s="142"/>
      <c r="X4" s="143"/>
      <c r="Y4" s="142"/>
      <c r="Z4" s="143"/>
      <c r="AA4" s="142"/>
      <c r="AB4" s="143"/>
      <c r="AC4" s="142"/>
      <c r="AD4" s="143"/>
      <c r="AE4" s="142"/>
      <c r="AF4" s="143"/>
      <c r="AG4" s="142"/>
    </row>
    <row r="5" spans="1:33" s="138" customFormat="1" ht="14.25" thickBot="1" x14ac:dyDescent="0.2">
      <c r="B5" s="141"/>
      <c r="C5" s="141"/>
      <c r="D5" s="141"/>
      <c r="E5" s="141"/>
      <c r="F5" s="141"/>
      <c r="G5" s="141"/>
      <c r="H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E5" s="141"/>
      <c r="AG5" s="141"/>
    </row>
    <row r="6" spans="1:33" x14ac:dyDescent="0.15">
      <c r="A6" s="138" t="s">
        <v>135</v>
      </c>
      <c r="B6" s="145" t="s">
        <v>10</v>
      </c>
      <c r="C6" s="146"/>
      <c r="D6" s="145" t="s">
        <v>11</v>
      </c>
      <c r="E6" s="174"/>
      <c r="F6" s="145" t="s">
        <v>12</v>
      </c>
      <c r="G6" s="146"/>
      <c r="H6" s="147" t="s">
        <v>13</v>
      </c>
      <c r="I6" s="148"/>
      <c r="J6" s="149" t="s">
        <v>8</v>
      </c>
      <c r="K6" s="150"/>
      <c r="L6" s="149" t="s">
        <v>14</v>
      </c>
      <c r="M6" s="148"/>
      <c r="N6" s="149" t="s">
        <v>15</v>
      </c>
      <c r="O6" s="150"/>
      <c r="P6" s="151" t="s">
        <v>16</v>
      </c>
      <c r="Q6" s="152"/>
      <c r="R6" s="145" t="s">
        <v>17</v>
      </c>
      <c r="S6" s="147"/>
      <c r="T6" s="145" t="s">
        <v>4</v>
      </c>
      <c r="U6" s="153"/>
      <c r="V6" s="145" t="s">
        <v>18</v>
      </c>
      <c r="W6" s="153"/>
      <c r="X6" s="145" t="s">
        <v>19</v>
      </c>
      <c r="Y6" s="147"/>
      <c r="Z6" s="145" t="s">
        <v>20</v>
      </c>
      <c r="AA6" s="153"/>
      <c r="AB6" s="145" t="s">
        <v>21</v>
      </c>
      <c r="AC6" s="153"/>
      <c r="AD6" s="154" t="s">
        <v>22</v>
      </c>
      <c r="AE6" s="153"/>
      <c r="AF6" s="154" t="s">
        <v>23</v>
      </c>
      <c r="AG6" s="153"/>
    </row>
    <row r="7" spans="1:33" s="138" customFormat="1" x14ac:dyDescent="0.15">
      <c r="B7" s="156">
        <v>0</v>
      </c>
      <c r="C7" s="157">
        <v>1</v>
      </c>
      <c r="D7" s="156">
        <v>0</v>
      </c>
      <c r="E7" s="158">
        <v>1</v>
      </c>
      <c r="F7" s="159">
        <v>0</v>
      </c>
      <c r="G7" s="157">
        <v>1</v>
      </c>
      <c r="H7" s="175">
        <v>0</v>
      </c>
      <c r="I7" s="161">
        <v>1</v>
      </c>
      <c r="J7" s="159">
        <v>0</v>
      </c>
      <c r="K7" s="162">
        <v>1</v>
      </c>
      <c r="L7" s="156">
        <v>0</v>
      </c>
      <c r="M7" s="161">
        <v>1</v>
      </c>
      <c r="N7" s="159">
        <v>0</v>
      </c>
      <c r="O7" s="162">
        <v>1</v>
      </c>
      <c r="P7" s="156">
        <v>0</v>
      </c>
      <c r="Q7" s="161">
        <v>1</v>
      </c>
      <c r="R7" s="156">
        <v>0</v>
      </c>
      <c r="S7" s="158">
        <v>2</v>
      </c>
      <c r="T7" s="156">
        <v>0</v>
      </c>
      <c r="U7" s="157">
        <v>3</v>
      </c>
      <c r="V7" s="156">
        <v>0</v>
      </c>
      <c r="W7" s="157">
        <v>1</v>
      </c>
      <c r="X7" s="156">
        <v>0</v>
      </c>
      <c r="Y7" s="158">
        <v>3</v>
      </c>
      <c r="Z7" s="156">
        <v>0</v>
      </c>
      <c r="AA7" s="157">
        <v>1</v>
      </c>
      <c r="AB7" s="156">
        <v>0</v>
      </c>
      <c r="AC7" s="157">
        <v>3</v>
      </c>
      <c r="AD7" s="156">
        <v>0</v>
      </c>
      <c r="AE7" s="157">
        <v>1</v>
      </c>
      <c r="AF7" s="156">
        <v>0</v>
      </c>
      <c r="AG7" s="157">
        <v>3</v>
      </c>
    </row>
    <row r="8" spans="1:33" s="165" customFormat="1" x14ac:dyDescent="0.15">
      <c r="B8" s="156">
        <v>1</v>
      </c>
      <c r="C8" s="157">
        <v>1</v>
      </c>
      <c r="D8" s="156">
        <v>1</v>
      </c>
      <c r="E8" s="158">
        <v>1</v>
      </c>
      <c r="F8" s="156">
        <v>1</v>
      </c>
      <c r="G8" s="161">
        <v>1</v>
      </c>
      <c r="H8" s="176">
        <v>1</v>
      </c>
      <c r="I8" s="161">
        <v>1</v>
      </c>
      <c r="J8" s="156">
        <v>1</v>
      </c>
      <c r="K8" s="162">
        <v>1</v>
      </c>
      <c r="L8" s="156">
        <v>1</v>
      </c>
      <c r="M8" s="161">
        <v>1</v>
      </c>
      <c r="N8" s="156">
        <v>1</v>
      </c>
      <c r="O8" s="162">
        <v>2</v>
      </c>
      <c r="P8" s="156">
        <v>1</v>
      </c>
      <c r="Q8" s="161">
        <v>2</v>
      </c>
      <c r="R8" s="156">
        <v>1</v>
      </c>
      <c r="S8" s="162">
        <v>3</v>
      </c>
      <c r="T8" s="156">
        <v>1</v>
      </c>
      <c r="U8" s="161">
        <v>4</v>
      </c>
      <c r="V8" s="156">
        <v>1</v>
      </c>
      <c r="W8" s="161">
        <v>2</v>
      </c>
      <c r="X8" s="156">
        <v>1</v>
      </c>
      <c r="Y8" s="162">
        <v>4</v>
      </c>
      <c r="Z8" s="156">
        <v>1</v>
      </c>
      <c r="AA8" s="161">
        <v>1</v>
      </c>
      <c r="AB8" s="156">
        <v>1</v>
      </c>
      <c r="AC8" s="161">
        <v>4</v>
      </c>
      <c r="AD8" s="156">
        <v>1</v>
      </c>
      <c r="AE8" s="161">
        <v>1</v>
      </c>
      <c r="AF8" s="156">
        <v>1</v>
      </c>
      <c r="AG8" s="161">
        <v>4</v>
      </c>
    </row>
    <row r="9" spans="1:33" x14ac:dyDescent="0.15">
      <c r="B9" s="156">
        <v>2</v>
      </c>
      <c r="C9" s="157">
        <v>1</v>
      </c>
      <c r="D9" s="156">
        <v>2</v>
      </c>
      <c r="E9" s="158">
        <v>1</v>
      </c>
      <c r="F9" s="159">
        <v>2</v>
      </c>
      <c r="G9" s="157">
        <v>1</v>
      </c>
      <c r="H9" s="175">
        <v>2</v>
      </c>
      <c r="I9" s="161">
        <v>1</v>
      </c>
      <c r="J9" s="159">
        <v>2</v>
      </c>
      <c r="K9" s="162">
        <v>1</v>
      </c>
      <c r="L9" s="156">
        <v>2</v>
      </c>
      <c r="M9" s="161">
        <v>1</v>
      </c>
      <c r="N9" s="159">
        <v>2</v>
      </c>
      <c r="O9" s="162">
        <v>2</v>
      </c>
      <c r="P9" s="156">
        <v>2</v>
      </c>
      <c r="Q9" s="161">
        <v>3</v>
      </c>
      <c r="R9" s="156">
        <v>2</v>
      </c>
      <c r="S9" s="158">
        <v>3</v>
      </c>
      <c r="T9" s="156">
        <v>2</v>
      </c>
      <c r="U9" s="157">
        <v>4</v>
      </c>
      <c r="V9" s="156">
        <v>2</v>
      </c>
      <c r="W9" s="157">
        <v>3</v>
      </c>
      <c r="X9" s="156">
        <v>2</v>
      </c>
      <c r="Y9" s="158">
        <v>4</v>
      </c>
      <c r="Z9" s="156">
        <v>2</v>
      </c>
      <c r="AA9" s="157">
        <v>1</v>
      </c>
      <c r="AB9" s="156">
        <v>2</v>
      </c>
      <c r="AC9" s="157">
        <v>5</v>
      </c>
      <c r="AD9" s="156">
        <v>2</v>
      </c>
      <c r="AE9" s="157">
        <v>1</v>
      </c>
      <c r="AF9" s="156">
        <v>2</v>
      </c>
      <c r="AG9" s="157">
        <v>4</v>
      </c>
    </row>
    <row r="10" spans="1:33" x14ac:dyDescent="0.15">
      <c r="B10" s="156">
        <v>3</v>
      </c>
      <c r="C10" s="157">
        <v>1</v>
      </c>
      <c r="D10" s="156">
        <v>3</v>
      </c>
      <c r="E10" s="158">
        <v>1</v>
      </c>
      <c r="F10" s="156">
        <v>3</v>
      </c>
      <c r="G10" s="157">
        <v>1</v>
      </c>
      <c r="H10" s="176">
        <v>3</v>
      </c>
      <c r="I10" s="161">
        <v>1</v>
      </c>
      <c r="J10" s="156">
        <v>3</v>
      </c>
      <c r="K10" s="162">
        <v>1</v>
      </c>
      <c r="L10" s="156">
        <v>3</v>
      </c>
      <c r="M10" s="161">
        <v>1</v>
      </c>
      <c r="N10" s="156">
        <v>3</v>
      </c>
      <c r="O10" s="162">
        <v>2</v>
      </c>
      <c r="P10" s="156">
        <v>3</v>
      </c>
      <c r="Q10" s="161">
        <v>3</v>
      </c>
      <c r="R10" s="156">
        <v>3</v>
      </c>
      <c r="S10" s="158">
        <v>4</v>
      </c>
      <c r="T10" s="156">
        <v>3</v>
      </c>
      <c r="U10" s="157">
        <v>6</v>
      </c>
      <c r="V10" s="156">
        <v>3</v>
      </c>
      <c r="W10" s="157">
        <v>3</v>
      </c>
      <c r="X10" s="156">
        <v>3</v>
      </c>
      <c r="Y10" s="158">
        <v>4</v>
      </c>
      <c r="Z10" s="156">
        <v>3</v>
      </c>
      <c r="AA10" s="157">
        <v>1</v>
      </c>
      <c r="AB10" s="156">
        <v>3</v>
      </c>
      <c r="AC10" s="157">
        <v>6</v>
      </c>
      <c r="AD10" s="156">
        <v>3</v>
      </c>
      <c r="AE10" s="157">
        <v>1</v>
      </c>
      <c r="AF10" s="156">
        <v>3</v>
      </c>
      <c r="AG10" s="157">
        <v>4</v>
      </c>
    </row>
    <row r="11" spans="1:33" x14ac:dyDescent="0.15">
      <c r="B11" s="156">
        <v>4</v>
      </c>
      <c r="C11" s="157">
        <v>1</v>
      </c>
      <c r="D11" s="156">
        <v>4</v>
      </c>
      <c r="E11" s="158">
        <v>2</v>
      </c>
      <c r="F11" s="159">
        <v>4</v>
      </c>
      <c r="G11" s="157">
        <v>2</v>
      </c>
      <c r="H11" s="175">
        <v>4</v>
      </c>
      <c r="I11" s="161">
        <v>1</v>
      </c>
      <c r="J11" s="159">
        <v>4</v>
      </c>
      <c r="K11" s="162">
        <v>2</v>
      </c>
      <c r="L11" s="156">
        <v>4</v>
      </c>
      <c r="M11" s="161">
        <v>2</v>
      </c>
      <c r="N11" s="159">
        <v>4</v>
      </c>
      <c r="O11" s="162">
        <v>3</v>
      </c>
      <c r="P11" s="156">
        <v>4</v>
      </c>
      <c r="Q11" s="161">
        <v>4</v>
      </c>
      <c r="R11" s="156">
        <v>4</v>
      </c>
      <c r="S11" s="158">
        <v>4</v>
      </c>
      <c r="T11" s="156">
        <v>4</v>
      </c>
      <c r="U11" s="157">
        <v>6</v>
      </c>
      <c r="V11" s="156">
        <v>4</v>
      </c>
      <c r="W11" s="157">
        <v>4</v>
      </c>
      <c r="X11" s="156">
        <v>4</v>
      </c>
      <c r="Y11" s="158">
        <v>4</v>
      </c>
      <c r="Z11" s="156">
        <v>4</v>
      </c>
      <c r="AA11" s="157">
        <v>2</v>
      </c>
      <c r="AB11" s="156">
        <v>4</v>
      </c>
      <c r="AC11" s="157">
        <v>6</v>
      </c>
      <c r="AD11" s="156">
        <v>4</v>
      </c>
      <c r="AE11" s="157">
        <v>2</v>
      </c>
      <c r="AF11" s="156">
        <v>4</v>
      </c>
      <c r="AG11" s="157">
        <v>5</v>
      </c>
    </row>
    <row r="12" spans="1:33" x14ac:dyDescent="0.15">
      <c r="B12" s="156">
        <v>5</v>
      </c>
      <c r="C12" s="157">
        <v>2</v>
      </c>
      <c r="D12" s="156">
        <v>5</v>
      </c>
      <c r="E12" s="158">
        <v>2</v>
      </c>
      <c r="F12" s="156">
        <v>5</v>
      </c>
      <c r="G12" s="157">
        <v>2</v>
      </c>
      <c r="H12" s="176">
        <v>5</v>
      </c>
      <c r="I12" s="161">
        <v>1</v>
      </c>
      <c r="J12" s="156">
        <v>5</v>
      </c>
      <c r="K12" s="162">
        <v>2</v>
      </c>
      <c r="L12" s="156">
        <v>5</v>
      </c>
      <c r="M12" s="161">
        <v>2</v>
      </c>
      <c r="N12" s="156">
        <v>5</v>
      </c>
      <c r="O12" s="162">
        <v>3</v>
      </c>
      <c r="P12" s="156">
        <v>5</v>
      </c>
      <c r="Q12" s="161">
        <v>4</v>
      </c>
      <c r="R12" s="156">
        <v>5</v>
      </c>
      <c r="S12" s="158">
        <v>4</v>
      </c>
      <c r="T12" s="156">
        <v>5</v>
      </c>
      <c r="U12" s="157">
        <v>6</v>
      </c>
      <c r="V12" s="156">
        <v>5</v>
      </c>
      <c r="W12" s="157">
        <v>4</v>
      </c>
      <c r="X12" s="156">
        <v>5</v>
      </c>
      <c r="Y12" s="158">
        <v>4</v>
      </c>
      <c r="Z12" s="156">
        <v>5</v>
      </c>
      <c r="AA12" s="157">
        <v>2</v>
      </c>
      <c r="AB12" s="156">
        <v>5</v>
      </c>
      <c r="AC12" s="157">
        <v>7</v>
      </c>
      <c r="AD12" s="156">
        <v>5</v>
      </c>
      <c r="AE12" s="157">
        <v>2</v>
      </c>
      <c r="AF12" s="156">
        <v>5</v>
      </c>
      <c r="AG12" s="157">
        <v>6</v>
      </c>
    </row>
    <row r="13" spans="1:33" x14ac:dyDescent="0.15">
      <c r="B13" s="156">
        <v>6</v>
      </c>
      <c r="C13" s="157">
        <v>2</v>
      </c>
      <c r="D13" s="156">
        <v>6</v>
      </c>
      <c r="E13" s="158">
        <v>3</v>
      </c>
      <c r="F13" s="159">
        <v>6</v>
      </c>
      <c r="G13" s="157">
        <v>2</v>
      </c>
      <c r="H13" s="175">
        <v>6</v>
      </c>
      <c r="I13" s="161">
        <v>2</v>
      </c>
      <c r="J13" s="159">
        <v>6</v>
      </c>
      <c r="K13" s="162">
        <v>2</v>
      </c>
      <c r="L13" s="156">
        <v>6</v>
      </c>
      <c r="M13" s="161">
        <v>2</v>
      </c>
      <c r="N13" s="159">
        <v>6</v>
      </c>
      <c r="O13" s="162">
        <v>3</v>
      </c>
      <c r="P13" s="156">
        <v>6</v>
      </c>
      <c r="Q13" s="161">
        <v>5</v>
      </c>
      <c r="R13" s="156">
        <v>6</v>
      </c>
      <c r="S13" s="158">
        <v>4</v>
      </c>
      <c r="T13" s="156">
        <v>6</v>
      </c>
      <c r="U13" s="157">
        <v>6</v>
      </c>
      <c r="V13" s="156">
        <v>6</v>
      </c>
      <c r="W13" s="157">
        <v>4</v>
      </c>
      <c r="X13" s="156">
        <v>6</v>
      </c>
      <c r="Y13" s="158">
        <v>5</v>
      </c>
      <c r="Z13" s="156">
        <v>6</v>
      </c>
      <c r="AA13" s="157">
        <v>3</v>
      </c>
      <c r="AB13" s="156">
        <v>6</v>
      </c>
      <c r="AC13" s="157">
        <v>7</v>
      </c>
      <c r="AD13" s="156">
        <v>6</v>
      </c>
      <c r="AE13" s="157">
        <v>2</v>
      </c>
      <c r="AF13" s="156">
        <v>6</v>
      </c>
      <c r="AG13" s="157">
        <v>6</v>
      </c>
    </row>
    <row r="14" spans="1:33" x14ac:dyDescent="0.15">
      <c r="B14" s="156">
        <v>7</v>
      </c>
      <c r="C14" s="157">
        <v>3</v>
      </c>
      <c r="D14" s="156">
        <v>7</v>
      </c>
      <c r="E14" s="158">
        <v>4</v>
      </c>
      <c r="F14" s="156">
        <v>7</v>
      </c>
      <c r="G14" s="157">
        <v>3</v>
      </c>
      <c r="H14" s="176">
        <v>7</v>
      </c>
      <c r="I14" s="161">
        <v>2</v>
      </c>
      <c r="J14" s="156">
        <v>7</v>
      </c>
      <c r="K14" s="162">
        <v>3</v>
      </c>
      <c r="L14" s="156">
        <v>7</v>
      </c>
      <c r="M14" s="161">
        <v>3</v>
      </c>
      <c r="N14" s="156">
        <v>7</v>
      </c>
      <c r="O14" s="162">
        <v>3</v>
      </c>
      <c r="P14" s="156">
        <v>7</v>
      </c>
      <c r="Q14" s="161">
        <v>6</v>
      </c>
      <c r="R14" s="156">
        <v>7</v>
      </c>
      <c r="S14" s="158">
        <v>5</v>
      </c>
      <c r="T14" s="156">
        <v>7</v>
      </c>
      <c r="U14" s="157">
        <v>7</v>
      </c>
      <c r="V14" s="156">
        <v>7</v>
      </c>
      <c r="W14" s="157">
        <v>4</v>
      </c>
      <c r="X14" s="156">
        <v>7</v>
      </c>
      <c r="Y14" s="158">
        <v>6</v>
      </c>
      <c r="Z14" s="156">
        <v>7</v>
      </c>
      <c r="AA14" s="157">
        <v>3</v>
      </c>
      <c r="AB14" s="156">
        <v>7</v>
      </c>
      <c r="AC14" s="157">
        <v>7</v>
      </c>
      <c r="AD14" s="156">
        <v>7</v>
      </c>
      <c r="AE14" s="157">
        <v>3</v>
      </c>
      <c r="AF14" s="156">
        <v>7</v>
      </c>
      <c r="AG14" s="157">
        <v>6</v>
      </c>
    </row>
    <row r="15" spans="1:33" x14ac:dyDescent="0.15">
      <c r="B15" s="156">
        <v>8</v>
      </c>
      <c r="C15" s="157">
        <v>3</v>
      </c>
      <c r="D15" s="156">
        <v>8</v>
      </c>
      <c r="E15" s="158">
        <v>4</v>
      </c>
      <c r="F15" s="159">
        <v>8</v>
      </c>
      <c r="G15" s="157">
        <v>3</v>
      </c>
      <c r="H15" s="175">
        <v>8</v>
      </c>
      <c r="I15" s="161">
        <v>2</v>
      </c>
      <c r="J15" s="159">
        <v>8</v>
      </c>
      <c r="K15" s="162">
        <v>3</v>
      </c>
      <c r="L15" s="156">
        <v>8</v>
      </c>
      <c r="M15" s="161">
        <v>3</v>
      </c>
      <c r="N15" s="159">
        <v>8</v>
      </c>
      <c r="O15" s="162">
        <v>4</v>
      </c>
      <c r="P15" s="156">
        <v>8</v>
      </c>
      <c r="Q15" s="161">
        <v>6</v>
      </c>
      <c r="R15" s="156">
        <v>8</v>
      </c>
      <c r="S15" s="158">
        <v>5</v>
      </c>
      <c r="T15" s="156">
        <v>8</v>
      </c>
      <c r="U15" s="157">
        <v>7</v>
      </c>
      <c r="V15" s="156">
        <v>8</v>
      </c>
      <c r="W15" s="157">
        <v>5</v>
      </c>
      <c r="X15" s="156">
        <v>8</v>
      </c>
      <c r="Y15" s="158">
        <v>6</v>
      </c>
      <c r="Z15" s="156">
        <v>8</v>
      </c>
      <c r="AA15" s="157">
        <v>4</v>
      </c>
      <c r="AB15" s="156">
        <v>8</v>
      </c>
      <c r="AC15" s="157">
        <v>8</v>
      </c>
      <c r="AD15" s="156">
        <v>8</v>
      </c>
      <c r="AE15" s="157">
        <v>3</v>
      </c>
      <c r="AF15" s="156">
        <v>8</v>
      </c>
      <c r="AG15" s="157">
        <v>6</v>
      </c>
    </row>
    <row r="16" spans="1:33" x14ac:dyDescent="0.15">
      <c r="B16" s="156">
        <v>9</v>
      </c>
      <c r="C16" s="157">
        <v>3</v>
      </c>
      <c r="D16" s="156">
        <v>9</v>
      </c>
      <c r="E16" s="158">
        <v>4</v>
      </c>
      <c r="F16" s="156">
        <v>9</v>
      </c>
      <c r="G16" s="157">
        <v>3</v>
      </c>
      <c r="H16" s="176">
        <v>9</v>
      </c>
      <c r="I16" s="161">
        <v>3</v>
      </c>
      <c r="J16" s="156">
        <v>9</v>
      </c>
      <c r="K16" s="162">
        <v>3</v>
      </c>
      <c r="L16" s="156">
        <v>9</v>
      </c>
      <c r="M16" s="161">
        <v>3</v>
      </c>
      <c r="N16" s="156">
        <v>9</v>
      </c>
      <c r="O16" s="162">
        <v>4</v>
      </c>
      <c r="P16" s="156">
        <v>9</v>
      </c>
      <c r="Q16" s="161">
        <v>6</v>
      </c>
      <c r="R16" s="156">
        <v>9</v>
      </c>
      <c r="S16" s="158">
        <v>6</v>
      </c>
      <c r="T16" s="156">
        <v>9</v>
      </c>
      <c r="U16" s="157">
        <v>7</v>
      </c>
      <c r="V16" s="156">
        <v>9</v>
      </c>
      <c r="W16" s="157">
        <v>5</v>
      </c>
      <c r="X16" s="156">
        <v>9</v>
      </c>
      <c r="Y16" s="158">
        <v>6</v>
      </c>
      <c r="Z16" s="156">
        <v>9</v>
      </c>
      <c r="AA16" s="157">
        <v>4</v>
      </c>
      <c r="AB16" s="156">
        <v>9</v>
      </c>
      <c r="AC16" s="157">
        <v>8</v>
      </c>
      <c r="AD16" s="156">
        <v>9</v>
      </c>
      <c r="AE16" s="157">
        <v>3</v>
      </c>
      <c r="AF16" s="156">
        <v>9</v>
      </c>
      <c r="AG16" s="157">
        <v>7</v>
      </c>
    </row>
    <row r="17" spans="2:33" x14ac:dyDescent="0.15">
      <c r="B17" s="156">
        <v>10</v>
      </c>
      <c r="C17" s="157">
        <v>4</v>
      </c>
      <c r="D17" s="156">
        <v>10</v>
      </c>
      <c r="E17" s="158">
        <v>6</v>
      </c>
      <c r="F17" s="159">
        <v>10</v>
      </c>
      <c r="G17" s="157">
        <v>3</v>
      </c>
      <c r="H17" s="175">
        <v>10</v>
      </c>
      <c r="I17" s="161">
        <v>3</v>
      </c>
      <c r="J17" s="159">
        <v>10</v>
      </c>
      <c r="K17" s="162">
        <v>4</v>
      </c>
      <c r="L17" s="156">
        <v>10</v>
      </c>
      <c r="M17" s="161">
        <v>4</v>
      </c>
      <c r="N17" s="159">
        <v>10</v>
      </c>
      <c r="O17" s="162">
        <v>4</v>
      </c>
      <c r="P17" s="156">
        <v>10</v>
      </c>
      <c r="Q17" s="161">
        <v>7</v>
      </c>
      <c r="R17" s="156">
        <v>10</v>
      </c>
      <c r="S17" s="158">
        <v>6</v>
      </c>
      <c r="T17" s="156">
        <v>10</v>
      </c>
      <c r="U17" s="157">
        <v>7</v>
      </c>
      <c r="V17" s="156">
        <v>10</v>
      </c>
      <c r="W17" s="157">
        <v>6</v>
      </c>
      <c r="X17" s="156">
        <v>10</v>
      </c>
      <c r="Y17" s="158">
        <v>6</v>
      </c>
      <c r="Z17" s="156">
        <v>10</v>
      </c>
      <c r="AA17" s="157">
        <v>4</v>
      </c>
      <c r="AB17" s="156">
        <v>10</v>
      </c>
      <c r="AC17" s="157">
        <v>8</v>
      </c>
      <c r="AD17" s="156">
        <v>10</v>
      </c>
      <c r="AE17" s="157">
        <v>3</v>
      </c>
      <c r="AF17" s="156">
        <v>10</v>
      </c>
      <c r="AG17" s="157">
        <v>7</v>
      </c>
    </row>
    <row r="18" spans="2:33" x14ac:dyDescent="0.15">
      <c r="B18" s="156">
        <v>11</v>
      </c>
      <c r="C18" s="157">
        <v>4</v>
      </c>
      <c r="D18" s="156">
        <v>11</v>
      </c>
      <c r="E18" s="158">
        <v>6</v>
      </c>
      <c r="F18" s="156">
        <v>11</v>
      </c>
      <c r="G18" s="157">
        <v>4</v>
      </c>
      <c r="H18" s="176">
        <v>11</v>
      </c>
      <c r="I18" s="161">
        <v>3</v>
      </c>
      <c r="J18" s="156">
        <v>11</v>
      </c>
      <c r="K18" s="162">
        <v>4</v>
      </c>
      <c r="L18" s="156">
        <v>11</v>
      </c>
      <c r="M18" s="161">
        <v>4</v>
      </c>
      <c r="N18" s="156">
        <v>11</v>
      </c>
      <c r="O18" s="162">
        <v>4</v>
      </c>
      <c r="P18" s="156">
        <v>11</v>
      </c>
      <c r="Q18" s="161">
        <v>7</v>
      </c>
      <c r="R18" s="156">
        <v>11</v>
      </c>
      <c r="S18" s="158">
        <v>6</v>
      </c>
      <c r="T18" s="156">
        <v>11</v>
      </c>
      <c r="U18" s="157">
        <v>8</v>
      </c>
      <c r="V18" s="156">
        <v>11</v>
      </c>
      <c r="W18" s="157">
        <v>6</v>
      </c>
      <c r="X18" s="156">
        <v>11</v>
      </c>
      <c r="Y18" s="158">
        <v>6</v>
      </c>
      <c r="Z18" s="156">
        <v>11</v>
      </c>
      <c r="AA18" s="157">
        <v>4</v>
      </c>
      <c r="AB18" s="156">
        <v>11</v>
      </c>
      <c r="AC18" s="157">
        <v>8</v>
      </c>
      <c r="AD18" s="156">
        <v>11</v>
      </c>
      <c r="AE18" s="157">
        <v>4</v>
      </c>
      <c r="AF18" s="156">
        <v>11</v>
      </c>
      <c r="AG18" s="157">
        <v>7</v>
      </c>
    </row>
    <row r="19" spans="2:33" x14ac:dyDescent="0.15">
      <c r="B19" s="156">
        <v>12</v>
      </c>
      <c r="C19" s="157">
        <v>4</v>
      </c>
      <c r="D19" s="156">
        <v>12</v>
      </c>
      <c r="E19" s="158">
        <v>7</v>
      </c>
      <c r="F19" s="159">
        <v>12</v>
      </c>
      <c r="G19" s="157">
        <v>4</v>
      </c>
      <c r="H19" s="175">
        <v>12</v>
      </c>
      <c r="I19" s="161">
        <v>4</v>
      </c>
      <c r="J19" s="159">
        <v>12</v>
      </c>
      <c r="K19" s="162">
        <v>4</v>
      </c>
      <c r="L19" s="156">
        <v>12</v>
      </c>
      <c r="M19" s="161">
        <v>4</v>
      </c>
      <c r="N19" s="159">
        <v>12</v>
      </c>
      <c r="O19" s="162">
        <v>4</v>
      </c>
      <c r="P19" s="156">
        <v>12</v>
      </c>
      <c r="Q19" s="161">
        <v>8</v>
      </c>
      <c r="R19" s="156">
        <v>12</v>
      </c>
      <c r="S19" s="158">
        <v>7</v>
      </c>
      <c r="T19" s="156">
        <v>12</v>
      </c>
      <c r="U19" s="157">
        <v>8</v>
      </c>
      <c r="V19" s="156">
        <v>12</v>
      </c>
      <c r="W19" s="157">
        <v>6</v>
      </c>
      <c r="X19" s="156">
        <v>12</v>
      </c>
      <c r="Y19" s="158">
        <v>7</v>
      </c>
      <c r="Z19" s="156">
        <v>12</v>
      </c>
      <c r="AA19" s="157">
        <v>5</v>
      </c>
      <c r="AB19" s="156">
        <v>12</v>
      </c>
      <c r="AC19" s="157">
        <v>9</v>
      </c>
      <c r="AD19" s="156">
        <v>12</v>
      </c>
      <c r="AE19" s="157">
        <v>4</v>
      </c>
      <c r="AF19" s="156">
        <v>12</v>
      </c>
      <c r="AG19" s="157">
        <v>7</v>
      </c>
    </row>
    <row r="20" spans="2:33" x14ac:dyDescent="0.15">
      <c r="B20" s="156">
        <v>13</v>
      </c>
      <c r="C20" s="157">
        <v>4</v>
      </c>
      <c r="D20" s="156">
        <v>13</v>
      </c>
      <c r="E20" s="158">
        <v>9</v>
      </c>
      <c r="F20" s="156">
        <v>13</v>
      </c>
      <c r="G20" s="157">
        <v>4</v>
      </c>
      <c r="H20" s="176">
        <v>13</v>
      </c>
      <c r="I20" s="161">
        <v>4</v>
      </c>
      <c r="J20" s="156">
        <v>13</v>
      </c>
      <c r="K20" s="162">
        <v>4</v>
      </c>
      <c r="L20" s="156">
        <v>13</v>
      </c>
      <c r="M20" s="161">
        <v>4</v>
      </c>
      <c r="N20" s="156">
        <v>13</v>
      </c>
      <c r="O20" s="162">
        <v>4</v>
      </c>
      <c r="P20" s="156">
        <v>13</v>
      </c>
      <c r="Q20" s="161">
        <v>8</v>
      </c>
      <c r="R20" s="156">
        <v>13</v>
      </c>
      <c r="S20" s="158">
        <v>7</v>
      </c>
      <c r="T20" s="156">
        <v>13</v>
      </c>
      <c r="U20" s="157">
        <v>8</v>
      </c>
      <c r="V20" s="156">
        <v>13</v>
      </c>
      <c r="W20" s="157">
        <v>7</v>
      </c>
      <c r="X20" s="156">
        <v>13</v>
      </c>
      <c r="Y20" s="158">
        <v>7</v>
      </c>
      <c r="Z20" s="156">
        <v>13</v>
      </c>
      <c r="AA20" s="157">
        <v>6</v>
      </c>
      <c r="AB20" s="156">
        <v>13</v>
      </c>
      <c r="AC20" s="157">
        <v>9</v>
      </c>
      <c r="AD20" s="156">
        <v>13</v>
      </c>
      <c r="AE20" s="157">
        <v>4</v>
      </c>
      <c r="AF20" s="156">
        <v>13</v>
      </c>
      <c r="AG20" s="157">
        <v>8</v>
      </c>
    </row>
    <row r="21" spans="2:33" x14ac:dyDescent="0.15">
      <c r="B21" s="156">
        <v>14</v>
      </c>
      <c r="C21" s="157">
        <v>5</v>
      </c>
      <c r="D21" s="156">
        <v>14</v>
      </c>
      <c r="E21" s="158">
        <v>10</v>
      </c>
      <c r="F21" s="159">
        <v>14</v>
      </c>
      <c r="G21" s="157">
        <v>4</v>
      </c>
      <c r="H21" s="175">
        <v>14</v>
      </c>
      <c r="I21" s="161">
        <v>4</v>
      </c>
      <c r="J21" s="159">
        <v>14</v>
      </c>
      <c r="K21" s="162">
        <v>5</v>
      </c>
      <c r="L21" s="156">
        <v>14</v>
      </c>
      <c r="M21" s="161">
        <v>4</v>
      </c>
      <c r="N21" s="159">
        <v>14</v>
      </c>
      <c r="O21" s="162">
        <v>4</v>
      </c>
      <c r="P21" s="156">
        <v>14</v>
      </c>
      <c r="Q21" s="161">
        <v>8</v>
      </c>
      <c r="R21" s="156">
        <v>14</v>
      </c>
      <c r="S21" s="158">
        <v>7</v>
      </c>
      <c r="T21" s="156">
        <v>14</v>
      </c>
      <c r="U21" s="157">
        <v>8</v>
      </c>
      <c r="V21" s="156">
        <v>14</v>
      </c>
      <c r="W21" s="157">
        <v>7</v>
      </c>
      <c r="X21" s="156">
        <v>14</v>
      </c>
      <c r="Y21" s="158">
        <v>7</v>
      </c>
      <c r="Z21" s="156">
        <v>14</v>
      </c>
      <c r="AA21" s="157">
        <v>6</v>
      </c>
      <c r="AB21" s="156">
        <v>14</v>
      </c>
      <c r="AC21" s="157">
        <v>9</v>
      </c>
      <c r="AD21" s="156">
        <v>14</v>
      </c>
      <c r="AE21" s="157">
        <v>4</v>
      </c>
      <c r="AF21" s="156">
        <v>14</v>
      </c>
      <c r="AG21" s="157">
        <v>8</v>
      </c>
    </row>
    <row r="22" spans="2:33" ht="14.25" thickBot="1" x14ac:dyDescent="0.2">
      <c r="B22" s="156">
        <v>15</v>
      </c>
      <c r="C22" s="157">
        <v>6</v>
      </c>
      <c r="D22" s="166">
        <v>15</v>
      </c>
      <c r="E22" s="167">
        <v>10</v>
      </c>
      <c r="F22" s="156">
        <v>15</v>
      </c>
      <c r="G22" s="157">
        <v>4</v>
      </c>
      <c r="H22" s="176">
        <v>15</v>
      </c>
      <c r="I22" s="161">
        <v>5</v>
      </c>
      <c r="J22" s="156">
        <v>15</v>
      </c>
      <c r="K22" s="162">
        <v>6</v>
      </c>
      <c r="L22" s="156">
        <v>15</v>
      </c>
      <c r="M22" s="161">
        <v>5</v>
      </c>
      <c r="N22" s="156">
        <v>15</v>
      </c>
      <c r="O22" s="162">
        <v>5</v>
      </c>
      <c r="P22" s="156">
        <v>15</v>
      </c>
      <c r="Q22" s="161">
        <v>9</v>
      </c>
      <c r="R22" s="156">
        <v>15</v>
      </c>
      <c r="S22" s="158">
        <v>8</v>
      </c>
      <c r="T22" s="156">
        <v>15</v>
      </c>
      <c r="U22" s="157">
        <v>9</v>
      </c>
      <c r="V22" s="156">
        <v>15</v>
      </c>
      <c r="W22" s="157">
        <v>7</v>
      </c>
      <c r="X22" s="156">
        <v>15</v>
      </c>
      <c r="Y22" s="158">
        <v>8</v>
      </c>
      <c r="Z22" s="156">
        <v>15</v>
      </c>
      <c r="AA22" s="157">
        <v>6</v>
      </c>
      <c r="AB22" s="156">
        <v>15</v>
      </c>
      <c r="AC22" s="157">
        <v>10</v>
      </c>
      <c r="AD22" s="156">
        <v>15</v>
      </c>
      <c r="AE22" s="157">
        <v>4</v>
      </c>
      <c r="AF22" s="156">
        <v>15</v>
      </c>
      <c r="AG22" s="157">
        <v>8</v>
      </c>
    </row>
    <row r="23" spans="2:33" x14ac:dyDescent="0.15">
      <c r="B23" s="156">
        <v>16</v>
      </c>
      <c r="C23" s="157">
        <v>6</v>
      </c>
      <c r="D23" s="168"/>
      <c r="E23" s="141"/>
      <c r="F23" s="159">
        <v>16</v>
      </c>
      <c r="G23" s="157">
        <v>4</v>
      </c>
      <c r="H23" s="175">
        <v>16</v>
      </c>
      <c r="I23" s="161">
        <v>6</v>
      </c>
      <c r="J23" s="159">
        <v>16</v>
      </c>
      <c r="K23" s="162">
        <v>6</v>
      </c>
      <c r="L23" s="156">
        <v>16</v>
      </c>
      <c r="M23" s="161">
        <v>5</v>
      </c>
      <c r="N23" s="159">
        <v>16</v>
      </c>
      <c r="O23" s="162">
        <v>5</v>
      </c>
      <c r="P23" s="156">
        <v>16</v>
      </c>
      <c r="Q23" s="161">
        <v>9</v>
      </c>
      <c r="R23" s="156">
        <v>16</v>
      </c>
      <c r="S23" s="158">
        <v>8</v>
      </c>
      <c r="T23" s="156">
        <v>16</v>
      </c>
      <c r="U23" s="157">
        <v>9</v>
      </c>
      <c r="V23" s="156">
        <v>16</v>
      </c>
      <c r="W23" s="157">
        <v>8</v>
      </c>
      <c r="X23" s="156">
        <v>16</v>
      </c>
      <c r="Y23" s="158">
        <v>8</v>
      </c>
      <c r="Z23" s="156">
        <v>16</v>
      </c>
      <c r="AA23" s="157">
        <v>7</v>
      </c>
      <c r="AB23" s="156">
        <v>16</v>
      </c>
      <c r="AC23" s="157">
        <v>10</v>
      </c>
      <c r="AD23" s="156">
        <v>16</v>
      </c>
      <c r="AE23" s="157">
        <v>5</v>
      </c>
      <c r="AF23" s="156">
        <v>16</v>
      </c>
      <c r="AG23" s="157">
        <v>9</v>
      </c>
    </row>
    <row r="24" spans="2:33" x14ac:dyDescent="0.15">
      <c r="B24" s="156">
        <v>17</v>
      </c>
      <c r="C24" s="157">
        <v>6</v>
      </c>
      <c r="D24" s="168"/>
      <c r="E24" s="141"/>
      <c r="F24" s="156">
        <v>17</v>
      </c>
      <c r="G24" s="157">
        <v>5</v>
      </c>
      <c r="H24" s="176">
        <v>17</v>
      </c>
      <c r="I24" s="161">
        <v>7</v>
      </c>
      <c r="J24" s="156">
        <v>17</v>
      </c>
      <c r="K24" s="162">
        <v>7</v>
      </c>
      <c r="L24" s="156">
        <v>17</v>
      </c>
      <c r="M24" s="161">
        <v>6</v>
      </c>
      <c r="N24" s="156">
        <v>17</v>
      </c>
      <c r="O24" s="162">
        <v>6</v>
      </c>
      <c r="P24" s="156">
        <v>17</v>
      </c>
      <c r="Q24" s="161">
        <v>9</v>
      </c>
      <c r="R24" s="156">
        <v>17</v>
      </c>
      <c r="S24" s="158">
        <v>9</v>
      </c>
      <c r="T24" s="156">
        <v>17</v>
      </c>
      <c r="U24" s="157">
        <v>9</v>
      </c>
      <c r="V24" s="156">
        <v>17</v>
      </c>
      <c r="W24" s="157">
        <v>8</v>
      </c>
      <c r="X24" s="156">
        <v>17</v>
      </c>
      <c r="Y24" s="158">
        <v>8</v>
      </c>
      <c r="Z24" s="156">
        <v>17</v>
      </c>
      <c r="AA24" s="157">
        <v>7</v>
      </c>
      <c r="AB24" s="156">
        <v>17</v>
      </c>
      <c r="AC24" s="157">
        <v>10</v>
      </c>
      <c r="AD24" s="156">
        <v>17</v>
      </c>
      <c r="AE24" s="157">
        <v>6</v>
      </c>
      <c r="AF24" s="156">
        <v>17</v>
      </c>
      <c r="AG24" s="157">
        <v>9</v>
      </c>
    </row>
    <row r="25" spans="2:33" x14ac:dyDescent="0.15">
      <c r="B25" s="156">
        <v>18</v>
      </c>
      <c r="C25" s="157">
        <v>7</v>
      </c>
      <c r="D25" s="168"/>
      <c r="E25" s="141"/>
      <c r="F25" s="159">
        <v>18</v>
      </c>
      <c r="G25" s="157">
        <v>6</v>
      </c>
      <c r="H25" s="175">
        <v>18</v>
      </c>
      <c r="I25" s="161">
        <v>7</v>
      </c>
      <c r="J25" s="159">
        <v>18</v>
      </c>
      <c r="K25" s="162">
        <v>8</v>
      </c>
      <c r="L25" s="156">
        <v>18</v>
      </c>
      <c r="M25" s="161">
        <v>6</v>
      </c>
      <c r="N25" s="159">
        <v>18</v>
      </c>
      <c r="O25" s="162">
        <v>6</v>
      </c>
      <c r="P25" s="156">
        <v>18</v>
      </c>
      <c r="Q25" s="161">
        <v>10</v>
      </c>
      <c r="R25" s="156">
        <v>18</v>
      </c>
      <c r="S25" s="158">
        <v>9</v>
      </c>
      <c r="T25" s="156">
        <v>18</v>
      </c>
      <c r="U25" s="157">
        <v>10</v>
      </c>
      <c r="V25" s="156">
        <v>18</v>
      </c>
      <c r="W25" s="157">
        <v>9</v>
      </c>
      <c r="X25" s="156">
        <v>18</v>
      </c>
      <c r="Y25" s="158">
        <v>9</v>
      </c>
      <c r="Z25" s="156">
        <v>18</v>
      </c>
      <c r="AA25" s="157">
        <v>7</v>
      </c>
      <c r="AB25" s="156">
        <v>18</v>
      </c>
      <c r="AC25" s="157">
        <v>10</v>
      </c>
      <c r="AD25" s="156">
        <v>18</v>
      </c>
      <c r="AE25" s="157">
        <v>6</v>
      </c>
      <c r="AF25" s="156">
        <v>18</v>
      </c>
      <c r="AG25" s="157">
        <v>10</v>
      </c>
    </row>
    <row r="26" spans="2:33" x14ac:dyDescent="0.15">
      <c r="B26" s="156">
        <v>19</v>
      </c>
      <c r="C26" s="157">
        <v>7</v>
      </c>
      <c r="D26" s="168"/>
      <c r="E26" s="141"/>
      <c r="F26" s="156">
        <v>19</v>
      </c>
      <c r="G26" s="157">
        <v>7</v>
      </c>
      <c r="H26" s="176">
        <v>19</v>
      </c>
      <c r="I26" s="161">
        <v>8</v>
      </c>
      <c r="J26" s="156">
        <v>19</v>
      </c>
      <c r="K26" s="162">
        <v>9</v>
      </c>
      <c r="L26" s="156">
        <v>19</v>
      </c>
      <c r="M26" s="161">
        <v>7</v>
      </c>
      <c r="N26" s="156">
        <v>19</v>
      </c>
      <c r="O26" s="162">
        <v>7</v>
      </c>
      <c r="P26" s="156">
        <v>19</v>
      </c>
      <c r="Q26" s="161">
        <v>10</v>
      </c>
      <c r="R26" s="156">
        <v>19</v>
      </c>
      <c r="S26" s="158">
        <v>10</v>
      </c>
      <c r="T26" s="156">
        <v>19</v>
      </c>
      <c r="U26" s="157">
        <v>10</v>
      </c>
      <c r="V26" s="156">
        <v>19</v>
      </c>
      <c r="W26" s="157">
        <v>9</v>
      </c>
      <c r="X26" s="156">
        <v>19</v>
      </c>
      <c r="Y26" s="158">
        <v>9</v>
      </c>
      <c r="Z26" s="156">
        <v>19</v>
      </c>
      <c r="AA26" s="157">
        <v>8</v>
      </c>
      <c r="AB26" s="156">
        <v>19</v>
      </c>
      <c r="AC26" s="157">
        <v>10</v>
      </c>
      <c r="AD26" s="156">
        <v>19</v>
      </c>
      <c r="AE26" s="157">
        <v>7</v>
      </c>
      <c r="AF26" s="156">
        <v>19</v>
      </c>
      <c r="AG26" s="157">
        <v>10</v>
      </c>
    </row>
    <row r="27" spans="2:33" ht="14.25" thickBot="1" x14ac:dyDescent="0.2">
      <c r="B27" s="156">
        <v>20</v>
      </c>
      <c r="C27" s="157">
        <v>8</v>
      </c>
      <c r="D27" s="168"/>
      <c r="E27" s="141"/>
      <c r="F27" s="169">
        <v>20</v>
      </c>
      <c r="G27" s="173">
        <v>8</v>
      </c>
      <c r="H27" s="177">
        <v>20</v>
      </c>
      <c r="I27" s="171">
        <v>9</v>
      </c>
      <c r="J27" s="169">
        <v>20</v>
      </c>
      <c r="K27" s="172">
        <v>10</v>
      </c>
      <c r="L27" s="156">
        <v>20</v>
      </c>
      <c r="M27" s="161">
        <v>7</v>
      </c>
      <c r="N27" s="169">
        <v>20</v>
      </c>
      <c r="O27" s="172">
        <v>8</v>
      </c>
      <c r="P27" s="156">
        <v>20</v>
      </c>
      <c r="Q27" s="161">
        <v>10</v>
      </c>
      <c r="R27" s="166">
        <v>20</v>
      </c>
      <c r="S27" s="167">
        <v>10</v>
      </c>
      <c r="T27" s="156">
        <v>20</v>
      </c>
      <c r="U27" s="157">
        <v>10</v>
      </c>
      <c r="V27" s="166">
        <v>20</v>
      </c>
      <c r="W27" s="173">
        <v>10</v>
      </c>
      <c r="X27" s="166">
        <v>20</v>
      </c>
      <c r="Y27" s="167">
        <v>10</v>
      </c>
      <c r="Z27" s="156">
        <v>20</v>
      </c>
      <c r="AA27" s="157">
        <v>8</v>
      </c>
      <c r="AB27" s="166">
        <v>20</v>
      </c>
      <c r="AC27" s="173">
        <v>10</v>
      </c>
      <c r="AD27" s="166">
        <v>20</v>
      </c>
      <c r="AE27" s="173">
        <v>8</v>
      </c>
      <c r="AF27" s="166">
        <v>20</v>
      </c>
      <c r="AG27" s="173">
        <v>10</v>
      </c>
    </row>
    <row r="28" spans="2:33" x14ac:dyDescent="0.15">
      <c r="B28" s="156">
        <v>21</v>
      </c>
      <c r="C28" s="157">
        <v>9</v>
      </c>
      <c r="D28" s="168"/>
      <c r="E28" s="141"/>
      <c r="L28" s="156">
        <v>21</v>
      </c>
      <c r="M28" s="157">
        <v>8</v>
      </c>
      <c r="P28" s="156">
        <v>21</v>
      </c>
      <c r="Q28" s="157">
        <v>10</v>
      </c>
      <c r="R28" s="168"/>
      <c r="T28" s="156">
        <v>21</v>
      </c>
      <c r="U28" s="157">
        <v>10</v>
      </c>
      <c r="V28" s="168"/>
      <c r="W28" s="141"/>
      <c r="X28" s="168"/>
      <c r="Y28" s="141"/>
      <c r="Z28" s="156">
        <v>21</v>
      </c>
      <c r="AA28" s="157">
        <v>9</v>
      </c>
      <c r="AB28" s="139"/>
    </row>
    <row r="29" spans="2:33" ht="14.25" thickBot="1" x14ac:dyDescent="0.2">
      <c r="B29" s="166">
        <v>22</v>
      </c>
      <c r="C29" s="173">
        <v>10</v>
      </c>
      <c r="D29" s="168"/>
      <c r="E29" s="141"/>
      <c r="L29" s="166">
        <v>22</v>
      </c>
      <c r="M29" s="173">
        <v>9</v>
      </c>
      <c r="P29" s="166">
        <v>22</v>
      </c>
      <c r="Q29" s="173">
        <v>10</v>
      </c>
      <c r="R29" s="168"/>
      <c r="T29" s="166">
        <v>22</v>
      </c>
      <c r="U29" s="173">
        <v>10</v>
      </c>
      <c r="V29" s="168"/>
      <c r="W29" s="141"/>
      <c r="X29" s="168"/>
      <c r="Y29" s="141"/>
      <c r="Z29" s="156">
        <v>22</v>
      </c>
      <c r="AA29" s="157">
        <v>9</v>
      </c>
      <c r="AB29" s="139"/>
    </row>
    <row r="30" spans="2:33" x14ac:dyDescent="0.15">
      <c r="T30" s="139"/>
      <c r="U30" s="141"/>
      <c r="V30" s="139"/>
      <c r="W30" s="141"/>
      <c r="X30" s="139"/>
      <c r="Y30" s="141"/>
      <c r="Z30" s="156">
        <v>23</v>
      </c>
      <c r="AA30" s="157">
        <v>9</v>
      </c>
      <c r="AB30" s="139"/>
    </row>
    <row r="31" spans="2:33" x14ac:dyDescent="0.15">
      <c r="Z31" s="156">
        <v>24</v>
      </c>
      <c r="AA31" s="157">
        <v>10</v>
      </c>
    </row>
    <row r="32" spans="2:33" x14ac:dyDescent="0.15">
      <c r="Z32" s="156">
        <v>25</v>
      </c>
      <c r="AA32" s="157">
        <v>10</v>
      </c>
    </row>
    <row r="33" spans="26:27" x14ac:dyDescent="0.15">
      <c r="Z33" s="156">
        <v>26</v>
      </c>
      <c r="AA33" s="157">
        <v>10</v>
      </c>
    </row>
    <row r="34" spans="26:27" x14ac:dyDescent="0.15">
      <c r="Z34" s="156">
        <v>27</v>
      </c>
      <c r="AA34" s="157">
        <v>10</v>
      </c>
    </row>
    <row r="35" spans="26:27" ht="14.25" thickBot="1" x14ac:dyDescent="0.2">
      <c r="Z35" s="166">
        <v>28</v>
      </c>
      <c r="AA35" s="173">
        <v>10</v>
      </c>
    </row>
    <row r="36" spans="26:27" x14ac:dyDescent="0.15">
      <c r="AA36" s="141"/>
    </row>
  </sheetData>
  <sheetProtection sheet="1" objects="1" scenarios="1"/>
  <phoneticPr fontId="9" type="noConversion"/>
  <pageMargins left="0.75" right="0.75" top="0.77" bottom="1" header="0" footer="0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B625-F5D8-45E3-8EC9-DE286F2314D9}">
  <dimension ref="A1:H82"/>
  <sheetViews>
    <sheetView topLeftCell="A58" workbookViewId="0">
      <selection activeCell="B39" sqref="B39"/>
    </sheetView>
  </sheetViews>
  <sheetFormatPr defaultRowHeight="12.75" x14ac:dyDescent="0.15"/>
  <cols>
    <col min="1" max="1" width="8.76171875" customWidth="1"/>
    <col min="2" max="6" width="9.70703125" customWidth="1"/>
    <col min="7" max="7" width="11.4609375" style="31" customWidth="1"/>
    <col min="8" max="256" width="11.4609375" customWidth="1"/>
  </cols>
  <sheetData>
    <row r="1" spans="1:8" x14ac:dyDescent="0.15">
      <c r="A1" s="178"/>
      <c r="B1" s="178"/>
      <c r="C1" s="178"/>
      <c r="D1" s="178"/>
      <c r="E1" s="178"/>
      <c r="F1" s="178"/>
      <c r="G1" s="179"/>
    </row>
    <row r="2" spans="1:8" x14ac:dyDescent="0.15">
      <c r="A2" s="180" t="s">
        <v>136</v>
      </c>
      <c r="B2" s="180"/>
      <c r="C2" s="180"/>
      <c r="D2" s="180"/>
      <c r="E2" s="180"/>
      <c r="F2" s="180"/>
      <c r="G2" s="179"/>
    </row>
    <row r="3" spans="1:8" x14ac:dyDescent="0.15">
      <c r="A3" s="178"/>
      <c r="B3" s="178"/>
      <c r="C3" s="178"/>
      <c r="D3" s="178"/>
      <c r="E3" s="178"/>
      <c r="F3" s="178"/>
      <c r="G3" s="179"/>
    </row>
    <row r="4" spans="1:8" ht="13.5" x14ac:dyDescent="0.15">
      <c r="A4" s="181" t="s">
        <v>135</v>
      </c>
      <c r="B4" s="182" t="s">
        <v>24</v>
      </c>
      <c r="C4" s="183"/>
      <c r="D4" s="182" t="s">
        <v>25</v>
      </c>
      <c r="E4" s="183"/>
      <c r="F4" s="182" t="s">
        <v>26</v>
      </c>
      <c r="G4" s="183"/>
      <c r="H4" s="141"/>
    </row>
    <row r="5" spans="1:8" ht="13.5" x14ac:dyDescent="0.15">
      <c r="A5" s="181"/>
      <c r="B5" s="183">
        <v>0</v>
      </c>
      <c r="C5" s="182">
        <v>1</v>
      </c>
      <c r="D5" s="183">
        <v>0</v>
      </c>
      <c r="E5" s="182">
        <v>4</v>
      </c>
      <c r="F5" s="184">
        <v>18</v>
      </c>
      <c r="G5" s="182">
        <v>1</v>
      </c>
      <c r="H5" s="139"/>
    </row>
    <row r="6" spans="1:8" ht="13.5" x14ac:dyDescent="0.15">
      <c r="A6" s="185"/>
      <c r="B6" s="183">
        <v>1</v>
      </c>
      <c r="C6" s="182">
        <v>1</v>
      </c>
      <c r="D6" s="183">
        <v>1</v>
      </c>
      <c r="E6" s="182">
        <v>7</v>
      </c>
      <c r="F6" s="183">
        <v>19</v>
      </c>
      <c r="G6" s="182">
        <v>1</v>
      </c>
      <c r="H6" s="168"/>
    </row>
    <row r="7" spans="1:8" ht="13.5" x14ac:dyDescent="0.15">
      <c r="A7" s="181"/>
      <c r="B7" s="183">
        <v>2</v>
      </c>
      <c r="C7" s="182">
        <v>1</v>
      </c>
      <c r="D7" s="183">
        <v>2</v>
      </c>
      <c r="E7" s="182">
        <v>8</v>
      </c>
      <c r="F7" s="184">
        <v>20</v>
      </c>
      <c r="G7" s="182">
        <v>1</v>
      </c>
      <c r="H7" s="139"/>
    </row>
    <row r="8" spans="1:8" ht="13.5" x14ac:dyDescent="0.15">
      <c r="A8" s="181"/>
      <c r="B8" s="183">
        <v>3</v>
      </c>
      <c r="C8" s="182">
        <v>2</v>
      </c>
      <c r="D8" s="183">
        <v>3</v>
      </c>
      <c r="E8" s="182">
        <v>8</v>
      </c>
      <c r="F8" s="183">
        <v>21</v>
      </c>
      <c r="G8" s="182">
        <v>1</v>
      </c>
      <c r="H8" s="168"/>
    </row>
    <row r="9" spans="1:8" ht="13.5" x14ac:dyDescent="0.15">
      <c r="A9" s="181"/>
      <c r="B9" s="183">
        <v>4</v>
      </c>
      <c r="C9" s="182">
        <v>2</v>
      </c>
      <c r="D9" s="183">
        <v>4</v>
      </c>
      <c r="E9" s="182">
        <v>9</v>
      </c>
      <c r="F9" s="184">
        <v>22</v>
      </c>
      <c r="G9" s="182">
        <v>1</v>
      </c>
      <c r="H9" s="139"/>
    </row>
    <row r="10" spans="1:8" ht="13.5" x14ac:dyDescent="0.15">
      <c r="A10" s="181"/>
      <c r="B10" s="183">
        <v>5</v>
      </c>
      <c r="C10" s="182">
        <v>3</v>
      </c>
      <c r="D10" s="183">
        <v>5</v>
      </c>
      <c r="E10" s="182">
        <v>9</v>
      </c>
      <c r="F10" s="183">
        <v>23</v>
      </c>
      <c r="G10" s="182">
        <v>1</v>
      </c>
      <c r="H10" s="168"/>
    </row>
    <row r="11" spans="1:8" ht="13.5" x14ac:dyDescent="0.15">
      <c r="A11" s="181"/>
      <c r="B11" s="183">
        <v>6</v>
      </c>
      <c r="C11" s="182">
        <v>3</v>
      </c>
      <c r="D11" s="183">
        <v>6</v>
      </c>
      <c r="E11" s="182">
        <v>9</v>
      </c>
      <c r="F11" s="184">
        <v>24</v>
      </c>
      <c r="G11" s="182">
        <v>1</v>
      </c>
      <c r="H11" s="139"/>
    </row>
    <row r="12" spans="1:8" ht="13.5" x14ac:dyDescent="0.15">
      <c r="A12" s="181"/>
      <c r="B12" s="183">
        <v>7</v>
      </c>
      <c r="C12" s="182">
        <v>3</v>
      </c>
      <c r="D12" s="183">
        <v>7</v>
      </c>
      <c r="E12" s="182">
        <v>9</v>
      </c>
      <c r="F12" s="183">
        <v>25</v>
      </c>
      <c r="G12" s="182">
        <v>1</v>
      </c>
      <c r="H12" s="168"/>
    </row>
    <row r="13" spans="1:8" ht="13.5" x14ac:dyDescent="0.15">
      <c r="A13" s="181"/>
      <c r="B13" s="183">
        <v>8</v>
      </c>
      <c r="C13" s="182">
        <v>4</v>
      </c>
      <c r="D13" s="183">
        <v>8</v>
      </c>
      <c r="E13" s="182">
        <v>10</v>
      </c>
      <c r="F13" s="184">
        <v>26</v>
      </c>
      <c r="G13" s="182">
        <v>1</v>
      </c>
      <c r="H13" s="139"/>
    </row>
    <row r="14" spans="1:8" ht="13.5" x14ac:dyDescent="0.15">
      <c r="A14" s="181"/>
      <c r="B14" s="183">
        <v>9</v>
      </c>
      <c r="C14" s="182">
        <v>4</v>
      </c>
      <c r="D14" s="183">
        <v>9</v>
      </c>
      <c r="E14" s="182">
        <v>10</v>
      </c>
      <c r="F14" s="183">
        <v>27</v>
      </c>
      <c r="G14" s="182">
        <v>1</v>
      </c>
      <c r="H14" s="168"/>
    </row>
    <row r="15" spans="1:8" ht="13.5" x14ac:dyDescent="0.15">
      <c r="A15" s="181"/>
      <c r="B15" s="183">
        <v>10</v>
      </c>
      <c r="C15" s="182">
        <v>4</v>
      </c>
      <c r="D15" s="183">
        <v>10</v>
      </c>
      <c r="E15" s="182">
        <v>10</v>
      </c>
      <c r="F15" s="184">
        <v>28</v>
      </c>
      <c r="G15" s="182">
        <v>1</v>
      </c>
      <c r="H15" s="139"/>
    </row>
    <row r="16" spans="1:8" ht="13.5" x14ac:dyDescent="0.15">
      <c r="A16" s="181"/>
      <c r="B16" s="183">
        <v>11</v>
      </c>
      <c r="C16" s="182">
        <v>4</v>
      </c>
      <c r="D16" s="183">
        <v>11</v>
      </c>
      <c r="E16" s="182">
        <v>10</v>
      </c>
      <c r="F16" s="183">
        <v>29</v>
      </c>
      <c r="G16" s="182">
        <v>1</v>
      </c>
      <c r="H16" s="168"/>
    </row>
    <row r="17" spans="1:8" ht="13.5" x14ac:dyDescent="0.15">
      <c r="A17" s="181"/>
      <c r="B17" s="183">
        <v>12</v>
      </c>
      <c r="C17" s="182">
        <v>4</v>
      </c>
      <c r="D17" s="183">
        <v>12</v>
      </c>
      <c r="E17" s="182">
        <v>10</v>
      </c>
      <c r="F17" s="184">
        <v>30</v>
      </c>
      <c r="G17" s="182">
        <v>1</v>
      </c>
      <c r="H17" s="139"/>
    </row>
    <row r="18" spans="1:8" ht="13.5" x14ac:dyDescent="0.15">
      <c r="A18" s="181"/>
      <c r="B18" s="183">
        <v>13</v>
      </c>
      <c r="C18" s="182">
        <v>5</v>
      </c>
      <c r="D18" s="183">
        <v>13</v>
      </c>
      <c r="E18" s="182">
        <v>10</v>
      </c>
      <c r="F18" s="183">
        <v>31</v>
      </c>
      <c r="G18" s="182">
        <v>1</v>
      </c>
      <c r="H18" s="168"/>
    </row>
    <row r="19" spans="1:8" ht="13.5" x14ac:dyDescent="0.15">
      <c r="A19" s="181"/>
      <c r="B19" s="183">
        <v>14</v>
      </c>
      <c r="C19" s="182">
        <v>6</v>
      </c>
      <c r="D19" s="183">
        <v>14</v>
      </c>
      <c r="E19" s="182">
        <v>10</v>
      </c>
      <c r="F19" s="184">
        <v>32</v>
      </c>
      <c r="G19" s="182">
        <v>1</v>
      </c>
      <c r="H19" s="139"/>
    </row>
    <row r="20" spans="1:8" ht="13.5" x14ac:dyDescent="0.15">
      <c r="A20" s="181"/>
      <c r="B20" s="183">
        <v>15</v>
      </c>
      <c r="C20" s="182">
        <v>6</v>
      </c>
      <c r="D20" s="183">
        <v>15</v>
      </c>
      <c r="E20" s="182">
        <v>10</v>
      </c>
      <c r="F20" s="183">
        <v>33</v>
      </c>
      <c r="G20" s="186">
        <v>2</v>
      </c>
      <c r="H20" s="168"/>
    </row>
    <row r="21" spans="1:8" ht="13.5" x14ac:dyDescent="0.15">
      <c r="A21" s="181"/>
      <c r="B21" s="183">
        <v>16</v>
      </c>
      <c r="C21" s="182">
        <v>6</v>
      </c>
      <c r="D21" s="183">
        <v>16</v>
      </c>
      <c r="E21" s="182">
        <v>10</v>
      </c>
      <c r="F21" s="184">
        <v>34</v>
      </c>
      <c r="G21" s="186">
        <v>2</v>
      </c>
      <c r="H21" s="139"/>
    </row>
    <row r="22" spans="1:8" ht="13.5" x14ac:dyDescent="0.15">
      <c r="A22" s="181"/>
      <c r="B22" s="183">
        <v>17</v>
      </c>
      <c r="C22" s="182">
        <v>6</v>
      </c>
      <c r="D22" s="183">
        <v>17</v>
      </c>
      <c r="E22" s="182">
        <v>10</v>
      </c>
      <c r="F22" s="183">
        <v>35</v>
      </c>
      <c r="G22" s="186">
        <v>2</v>
      </c>
      <c r="H22" s="168"/>
    </row>
    <row r="23" spans="1:8" ht="13.5" x14ac:dyDescent="0.15">
      <c r="A23" s="181"/>
      <c r="B23" s="183">
        <v>18</v>
      </c>
      <c r="C23" s="182">
        <v>7</v>
      </c>
      <c r="D23" s="183">
        <v>18</v>
      </c>
      <c r="E23" s="182">
        <v>10</v>
      </c>
      <c r="F23" s="184">
        <v>36</v>
      </c>
      <c r="G23" s="186">
        <v>2</v>
      </c>
      <c r="H23" s="139"/>
    </row>
    <row r="24" spans="1:8" ht="13.5" x14ac:dyDescent="0.15">
      <c r="A24" s="181"/>
      <c r="B24" s="183">
        <v>19</v>
      </c>
      <c r="C24" s="182">
        <v>7</v>
      </c>
      <c r="D24" s="183">
        <v>19</v>
      </c>
      <c r="E24" s="182">
        <v>10</v>
      </c>
      <c r="F24" s="183">
        <v>37</v>
      </c>
      <c r="G24" s="186">
        <v>3</v>
      </c>
      <c r="H24" s="168"/>
    </row>
    <row r="25" spans="1:8" ht="13.5" x14ac:dyDescent="0.15">
      <c r="A25" s="181"/>
      <c r="B25" s="183">
        <v>20</v>
      </c>
      <c r="C25" s="182">
        <v>8</v>
      </c>
      <c r="D25" s="183">
        <v>20</v>
      </c>
      <c r="E25" s="182">
        <v>10</v>
      </c>
      <c r="F25" s="184">
        <v>38</v>
      </c>
      <c r="G25" s="186">
        <v>3</v>
      </c>
      <c r="H25" s="139"/>
    </row>
    <row r="26" spans="1:8" ht="13.5" x14ac:dyDescent="0.15">
      <c r="A26" s="181"/>
      <c r="B26" s="183">
        <v>21</v>
      </c>
      <c r="C26" s="182">
        <v>8</v>
      </c>
      <c r="D26" s="183">
        <v>21</v>
      </c>
      <c r="E26" s="182">
        <v>10</v>
      </c>
      <c r="F26" s="183">
        <v>39</v>
      </c>
      <c r="G26" s="186">
        <v>3</v>
      </c>
      <c r="H26" s="139"/>
    </row>
    <row r="27" spans="1:8" ht="13.5" x14ac:dyDescent="0.15">
      <c r="A27" s="181"/>
      <c r="B27" s="183">
        <v>22</v>
      </c>
      <c r="C27" s="182">
        <v>8</v>
      </c>
      <c r="D27" s="183">
        <v>22</v>
      </c>
      <c r="E27" s="182">
        <v>10</v>
      </c>
      <c r="F27" s="184">
        <v>40</v>
      </c>
      <c r="G27" s="186">
        <v>3</v>
      </c>
      <c r="H27" s="139"/>
    </row>
    <row r="28" spans="1:8" x14ac:dyDescent="0.15">
      <c r="A28" s="187"/>
      <c r="B28" s="183">
        <v>23</v>
      </c>
      <c r="C28" s="182">
        <v>9</v>
      </c>
      <c r="D28" s="183">
        <v>23</v>
      </c>
      <c r="E28" s="182">
        <v>10</v>
      </c>
      <c r="F28" s="183">
        <v>41</v>
      </c>
      <c r="G28" s="186">
        <v>4</v>
      </c>
    </row>
    <row r="29" spans="1:8" x14ac:dyDescent="0.15">
      <c r="A29" s="187"/>
      <c r="B29" s="183">
        <v>24</v>
      </c>
      <c r="C29" s="182">
        <v>10</v>
      </c>
      <c r="D29" s="183">
        <v>24</v>
      </c>
      <c r="E29" s="182">
        <v>10</v>
      </c>
      <c r="F29" s="184">
        <v>42</v>
      </c>
      <c r="G29" s="186">
        <v>4</v>
      </c>
    </row>
    <row r="30" spans="1:8" x14ac:dyDescent="0.15">
      <c r="A30" s="187"/>
      <c r="B30" s="187"/>
      <c r="C30" s="187"/>
      <c r="D30" s="183">
        <v>25</v>
      </c>
      <c r="E30" s="182">
        <v>10</v>
      </c>
      <c r="F30" s="183">
        <v>43</v>
      </c>
      <c r="G30" s="186">
        <v>4</v>
      </c>
    </row>
    <row r="31" spans="1:8" x14ac:dyDescent="0.15">
      <c r="A31" s="187"/>
      <c r="B31" s="187"/>
      <c r="C31" s="187"/>
      <c r="D31" s="183">
        <v>26</v>
      </c>
      <c r="E31" s="182">
        <v>10</v>
      </c>
      <c r="F31" s="184">
        <v>44</v>
      </c>
      <c r="G31" s="186">
        <v>4</v>
      </c>
    </row>
    <row r="32" spans="1:8" x14ac:dyDescent="0.15">
      <c r="A32" s="187"/>
      <c r="B32" s="187"/>
      <c r="C32" s="187"/>
      <c r="D32" s="183">
        <v>27</v>
      </c>
      <c r="E32" s="182">
        <v>10</v>
      </c>
      <c r="F32" s="183">
        <v>45</v>
      </c>
      <c r="G32" s="186">
        <v>4</v>
      </c>
    </row>
    <row r="33" spans="1:7" x14ac:dyDescent="0.15">
      <c r="A33" s="187"/>
      <c r="B33" s="187"/>
      <c r="C33" s="187"/>
      <c r="D33" s="183">
        <v>28</v>
      </c>
      <c r="E33" s="182">
        <v>10</v>
      </c>
      <c r="F33" s="184">
        <v>46</v>
      </c>
      <c r="G33" s="186">
        <v>4</v>
      </c>
    </row>
    <row r="34" spans="1:7" x14ac:dyDescent="0.15">
      <c r="A34" s="187"/>
      <c r="B34" s="187"/>
      <c r="C34" s="187"/>
      <c r="D34" s="183">
        <v>29</v>
      </c>
      <c r="E34" s="182">
        <v>10</v>
      </c>
      <c r="F34" s="183">
        <v>47</v>
      </c>
      <c r="G34" s="186">
        <v>5</v>
      </c>
    </row>
    <row r="35" spans="1:7" x14ac:dyDescent="0.15">
      <c r="A35" s="187"/>
      <c r="B35" s="187"/>
      <c r="C35" s="187"/>
      <c r="D35" s="183">
        <v>30</v>
      </c>
      <c r="E35" s="182">
        <v>10</v>
      </c>
      <c r="F35" s="184">
        <v>48</v>
      </c>
      <c r="G35" s="186">
        <v>5</v>
      </c>
    </row>
    <row r="36" spans="1:7" x14ac:dyDescent="0.15">
      <c r="A36" s="187"/>
      <c r="B36" s="187"/>
      <c r="C36" s="187"/>
      <c r="D36" s="183">
        <v>31</v>
      </c>
      <c r="E36" s="182">
        <v>10</v>
      </c>
      <c r="F36" s="183">
        <v>49</v>
      </c>
      <c r="G36" s="186">
        <v>6</v>
      </c>
    </row>
    <row r="37" spans="1:7" x14ac:dyDescent="0.15">
      <c r="A37" s="187"/>
      <c r="B37" s="187"/>
      <c r="C37" s="187"/>
      <c r="D37" s="183">
        <v>32</v>
      </c>
      <c r="E37" s="182">
        <v>10</v>
      </c>
      <c r="F37" s="184">
        <v>50</v>
      </c>
      <c r="G37" s="186">
        <v>6</v>
      </c>
    </row>
    <row r="38" spans="1:7" x14ac:dyDescent="0.15">
      <c r="A38" s="187"/>
      <c r="B38" s="187"/>
      <c r="C38" s="187"/>
      <c r="D38" s="183">
        <v>33</v>
      </c>
      <c r="E38" s="182">
        <v>10</v>
      </c>
      <c r="F38" s="183">
        <v>51</v>
      </c>
      <c r="G38" s="186">
        <v>6</v>
      </c>
    </row>
    <row r="39" spans="1:7" x14ac:dyDescent="0.15">
      <c r="A39" s="187"/>
      <c r="B39" s="187"/>
      <c r="C39" s="187"/>
      <c r="D39" s="183">
        <v>34</v>
      </c>
      <c r="E39" s="182">
        <v>10</v>
      </c>
      <c r="F39" s="184">
        <v>52</v>
      </c>
      <c r="G39" s="186">
        <v>6</v>
      </c>
    </row>
    <row r="40" spans="1:7" x14ac:dyDescent="0.15">
      <c r="A40" s="187"/>
      <c r="B40" s="187"/>
      <c r="C40" s="187"/>
      <c r="D40" s="183">
        <v>35</v>
      </c>
      <c r="E40" s="182">
        <v>10</v>
      </c>
      <c r="F40" s="183">
        <v>53</v>
      </c>
      <c r="G40" s="186">
        <v>6</v>
      </c>
    </row>
    <row r="41" spans="1:7" x14ac:dyDescent="0.15">
      <c r="A41" s="187"/>
      <c r="B41" s="187"/>
      <c r="C41" s="187"/>
      <c r="D41" s="183">
        <v>36</v>
      </c>
      <c r="E41" s="182">
        <v>10</v>
      </c>
      <c r="F41" s="184">
        <v>54</v>
      </c>
      <c r="G41" s="186">
        <v>7</v>
      </c>
    </row>
    <row r="42" spans="1:7" x14ac:dyDescent="0.15">
      <c r="A42" s="187"/>
      <c r="B42" s="187"/>
      <c r="C42" s="187"/>
      <c r="D42" s="183">
        <v>37</v>
      </c>
      <c r="E42" s="182">
        <v>10</v>
      </c>
      <c r="F42" s="183">
        <v>55</v>
      </c>
      <c r="G42" s="186">
        <v>7</v>
      </c>
    </row>
    <row r="43" spans="1:7" x14ac:dyDescent="0.15">
      <c r="A43" s="187"/>
      <c r="B43" s="187"/>
      <c r="C43" s="187"/>
      <c r="D43" s="183">
        <v>38</v>
      </c>
      <c r="E43" s="182">
        <v>10</v>
      </c>
      <c r="F43" s="184">
        <v>56</v>
      </c>
      <c r="G43" s="186">
        <v>7</v>
      </c>
    </row>
    <row r="44" spans="1:7" x14ac:dyDescent="0.15">
      <c r="A44" s="187"/>
      <c r="B44" s="187"/>
      <c r="C44" s="187"/>
      <c r="D44" s="187"/>
      <c r="E44" s="187"/>
      <c r="F44" s="183">
        <v>57</v>
      </c>
      <c r="G44" s="186">
        <v>7</v>
      </c>
    </row>
    <row r="45" spans="1:7" x14ac:dyDescent="0.15">
      <c r="A45" s="187"/>
      <c r="B45" s="187"/>
      <c r="C45" s="187"/>
      <c r="D45" s="187"/>
      <c r="E45" s="187"/>
      <c r="F45" s="184">
        <v>58</v>
      </c>
      <c r="G45" s="186">
        <v>7</v>
      </c>
    </row>
    <row r="46" spans="1:7" x14ac:dyDescent="0.15">
      <c r="A46" s="187"/>
      <c r="B46" s="187"/>
      <c r="C46" s="187"/>
      <c r="D46" s="187"/>
      <c r="E46" s="187"/>
      <c r="F46" s="183">
        <v>59</v>
      </c>
      <c r="G46" s="186">
        <v>8</v>
      </c>
    </row>
    <row r="47" spans="1:7" x14ac:dyDescent="0.15">
      <c r="A47" s="187"/>
      <c r="B47" s="187"/>
      <c r="C47" s="187"/>
      <c r="D47" s="187"/>
      <c r="E47" s="187"/>
      <c r="F47" s="184">
        <v>60</v>
      </c>
      <c r="G47" s="186">
        <v>8</v>
      </c>
    </row>
    <row r="48" spans="1:7" x14ac:dyDescent="0.15">
      <c r="A48" s="187"/>
      <c r="B48" s="187"/>
      <c r="C48" s="187"/>
      <c r="D48" s="187"/>
      <c r="E48" s="187"/>
      <c r="F48" s="183">
        <v>61</v>
      </c>
      <c r="G48" s="186">
        <v>8</v>
      </c>
    </row>
    <row r="49" spans="1:7" x14ac:dyDescent="0.15">
      <c r="A49" s="187"/>
      <c r="B49" s="187"/>
      <c r="C49" s="187"/>
      <c r="D49" s="187"/>
      <c r="E49" s="187"/>
      <c r="F49" s="184">
        <v>62</v>
      </c>
      <c r="G49" s="186">
        <v>8</v>
      </c>
    </row>
    <row r="50" spans="1:7" x14ac:dyDescent="0.15">
      <c r="A50" s="187"/>
      <c r="B50" s="187"/>
      <c r="C50" s="187"/>
      <c r="D50" s="187"/>
      <c r="E50" s="187"/>
      <c r="F50" s="183">
        <v>63</v>
      </c>
      <c r="G50" s="186">
        <v>9</v>
      </c>
    </row>
    <row r="51" spans="1:7" x14ac:dyDescent="0.15">
      <c r="A51" s="187"/>
      <c r="B51" s="187"/>
      <c r="C51" s="187"/>
      <c r="D51" s="187"/>
      <c r="E51" s="187"/>
      <c r="F51" s="184">
        <v>64</v>
      </c>
      <c r="G51" s="186">
        <v>9</v>
      </c>
    </row>
    <row r="52" spans="1:7" x14ac:dyDescent="0.15">
      <c r="A52" s="187"/>
      <c r="B52" s="187"/>
      <c r="C52" s="187"/>
      <c r="D52" s="187"/>
      <c r="E52" s="187"/>
      <c r="F52" s="183">
        <v>65</v>
      </c>
      <c r="G52" s="186">
        <v>9</v>
      </c>
    </row>
    <row r="53" spans="1:7" x14ac:dyDescent="0.15">
      <c r="A53" s="187"/>
      <c r="B53" s="187"/>
      <c r="C53" s="187"/>
      <c r="D53" s="187"/>
      <c r="E53" s="187"/>
      <c r="F53" s="184">
        <v>66</v>
      </c>
      <c r="G53" s="186">
        <v>9</v>
      </c>
    </row>
    <row r="54" spans="1:7" x14ac:dyDescent="0.15">
      <c r="A54" s="187"/>
      <c r="B54" s="187"/>
      <c r="C54" s="187"/>
      <c r="D54" s="187"/>
      <c r="E54" s="187"/>
      <c r="F54" s="183">
        <v>67</v>
      </c>
      <c r="G54" s="186">
        <v>9</v>
      </c>
    </row>
    <row r="55" spans="1:7" x14ac:dyDescent="0.15">
      <c r="A55" s="187"/>
      <c r="B55" s="187"/>
      <c r="C55" s="187"/>
      <c r="D55" s="187"/>
      <c r="E55" s="187"/>
      <c r="F55" s="184">
        <v>68</v>
      </c>
      <c r="G55" s="186">
        <v>10</v>
      </c>
    </row>
    <row r="56" spans="1:7" x14ac:dyDescent="0.15">
      <c r="A56" s="187"/>
      <c r="B56" s="187"/>
      <c r="C56" s="187"/>
      <c r="D56" s="187"/>
      <c r="E56" s="187"/>
      <c r="F56" s="183">
        <v>69</v>
      </c>
      <c r="G56" s="186">
        <v>10</v>
      </c>
    </row>
    <row r="57" spans="1:7" x14ac:dyDescent="0.15">
      <c r="A57" s="187"/>
      <c r="B57" s="187"/>
      <c r="C57" s="187"/>
      <c r="D57" s="187"/>
      <c r="E57" s="187"/>
      <c r="F57" s="184">
        <v>70</v>
      </c>
      <c r="G57" s="186">
        <v>10</v>
      </c>
    </row>
    <row r="58" spans="1:7" x14ac:dyDescent="0.15">
      <c r="A58" s="187"/>
      <c r="B58" s="187"/>
      <c r="C58" s="187"/>
      <c r="D58" s="187"/>
      <c r="E58" s="187"/>
      <c r="F58" s="183">
        <v>71</v>
      </c>
      <c r="G58" s="186">
        <v>10</v>
      </c>
    </row>
    <row r="59" spans="1:7" x14ac:dyDescent="0.15">
      <c r="A59" s="187"/>
      <c r="B59" s="187"/>
      <c r="C59" s="187"/>
      <c r="D59" s="187"/>
      <c r="E59" s="187"/>
      <c r="F59" s="184">
        <v>72</v>
      </c>
      <c r="G59" s="186">
        <v>10</v>
      </c>
    </row>
    <row r="60" spans="1:7" x14ac:dyDescent="0.15">
      <c r="A60" s="187"/>
      <c r="B60" s="187"/>
      <c r="C60" s="187"/>
      <c r="D60" s="187"/>
      <c r="E60" s="187"/>
      <c r="F60" s="183">
        <v>73</v>
      </c>
      <c r="G60" s="186">
        <v>10</v>
      </c>
    </row>
    <row r="61" spans="1:7" x14ac:dyDescent="0.15">
      <c r="A61" s="187"/>
      <c r="B61" s="187"/>
      <c r="C61" s="187"/>
      <c r="D61" s="187"/>
      <c r="E61" s="187"/>
      <c r="F61" s="184">
        <v>74</v>
      </c>
      <c r="G61" s="186">
        <v>10</v>
      </c>
    </row>
    <row r="62" spans="1:7" x14ac:dyDescent="0.15">
      <c r="A62" s="187"/>
      <c r="B62" s="187"/>
      <c r="C62" s="187"/>
      <c r="D62" s="187"/>
      <c r="E62" s="187"/>
      <c r="F62" s="183">
        <v>75</v>
      </c>
      <c r="G62" s="186">
        <v>10</v>
      </c>
    </row>
    <row r="63" spans="1:7" x14ac:dyDescent="0.15">
      <c r="A63" s="187"/>
      <c r="B63" s="187"/>
      <c r="C63" s="187"/>
      <c r="D63" s="187"/>
      <c r="E63" s="187"/>
      <c r="F63" s="184">
        <v>76</v>
      </c>
      <c r="G63" s="186">
        <v>10</v>
      </c>
    </row>
    <row r="64" spans="1:7" x14ac:dyDescent="0.15">
      <c r="A64" s="187"/>
      <c r="B64" s="187"/>
      <c r="C64" s="187"/>
      <c r="D64" s="187"/>
      <c r="E64" s="187"/>
      <c r="F64" s="183">
        <v>77</v>
      </c>
      <c r="G64" s="186">
        <v>10</v>
      </c>
    </row>
    <row r="65" spans="1:7" x14ac:dyDescent="0.15">
      <c r="A65" s="187"/>
      <c r="B65" s="187"/>
      <c r="C65" s="187"/>
      <c r="D65" s="187"/>
      <c r="E65" s="187"/>
      <c r="F65" s="184">
        <v>78</v>
      </c>
      <c r="G65" s="186">
        <v>10</v>
      </c>
    </row>
    <row r="66" spans="1:7" x14ac:dyDescent="0.15">
      <c r="A66" s="187"/>
      <c r="B66" s="187"/>
      <c r="C66" s="187"/>
      <c r="D66" s="187"/>
      <c r="E66" s="187"/>
      <c r="F66" s="183">
        <v>79</v>
      </c>
      <c r="G66" s="186">
        <v>10</v>
      </c>
    </row>
    <row r="67" spans="1:7" x14ac:dyDescent="0.15">
      <c r="A67" s="187"/>
      <c r="B67" s="187"/>
      <c r="C67" s="187"/>
      <c r="D67" s="187"/>
      <c r="E67" s="187"/>
      <c r="F67" s="184">
        <v>80</v>
      </c>
      <c r="G67" s="186">
        <v>10</v>
      </c>
    </row>
    <row r="68" spans="1:7" x14ac:dyDescent="0.15">
      <c r="A68" s="187"/>
      <c r="B68" s="187"/>
      <c r="C68" s="187"/>
      <c r="D68" s="187"/>
      <c r="E68" s="187"/>
      <c r="F68" s="183">
        <v>81</v>
      </c>
      <c r="G68" s="186">
        <v>10</v>
      </c>
    </row>
    <row r="69" spans="1:7" x14ac:dyDescent="0.15">
      <c r="A69" s="187"/>
      <c r="B69" s="187"/>
      <c r="C69" s="187"/>
      <c r="D69" s="187"/>
      <c r="E69" s="187"/>
      <c r="F69" s="184">
        <v>82</v>
      </c>
      <c r="G69" s="186">
        <v>10</v>
      </c>
    </row>
    <row r="70" spans="1:7" x14ac:dyDescent="0.15">
      <c r="A70" s="187"/>
      <c r="B70" s="187"/>
      <c r="C70" s="187"/>
      <c r="D70" s="187"/>
      <c r="E70" s="187"/>
      <c r="F70" s="183">
        <v>83</v>
      </c>
      <c r="G70" s="186">
        <v>10</v>
      </c>
    </row>
    <row r="71" spans="1:7" x14ac:dyDescent="0.15">
      <c r="A71" s="187"/>
      <c r="B71" s="187"/>
      <c r="C71" s="187"/>
      <c r="D71" s="187"/>
      <c r="E71" s="187"/>
      <c r="F71" s="184">
        <v>84</v>
      </c>
      <c r="G71" s="186">
        <v>10</v>
      </c>
    </row>
    <row r="72" spans="1:7" x14ac:dyDescent="0.15">
      <c r="A72" s="187"/>
      <c r="B72" s="187"/>
      <c r="C72" s="187"/>
      <c r="D72" s="187"/>
      <c r="E72" s="187"/>
      <c r="F72" s="183">
        <v>85</v>
      </c>
      <c r="G72" s="186">
        <v>10</v>
      </c>
    </row>
    <row r="73" spans="1:7" x14ac:dyDescent="0.15">
      <c r="A73" s="187"/>
      <c r="B73" s="187"/>
      <c r="C73" s="187"/>
      <c r="D73" s="187"/>
      <c r="E73" s="187"/>
      <c r="F73" s="184">
        <v>86</v>
      </c>
      <c r="G73" s="186">
        <v>10</v>
      </c>
    </row>
    <row r="74" spans="1:7" x14ac:dyDescent="0.15">
      <c r="A74" s="187"/>
      <c r="B74" s="187"/>
      <c r="C74" s="187"/>
      <c r="D74" s="187"/>
      <c r="E74" s="187"/>
      <c r="F74" s="183">
        <v>87</v>
      </c>
      <c r="G74" s="186">
        <v>10</v>
      </c>
    </row>
    <row r="75" spans="1:7" x14ac:dyDescent="0.15">
      <c r="A75" s="187"/>
      <c r="B75" s="187"/>
      <c r="C75" s="187"/>
      <c r="D75" s="187"/>
      <c r="E75" s="187"/>
      <c r="F75" s="184">
        <v>88</v>
      </c>
      <c r="G75" s="186">
        <v>10</v>
      </c>
    </row>
    <row r="76" spans="1:7" x14ac:dyDescent="0.15">
      <c r="A76" s="187"/>
      <c r="B76" s="187"/>
      <c r="C76" s="187"/>
      <c r="D76" s="187"/>
      <c r="E76" s="187"/>
      <c r="F76" s="183">
        <v>89</v>
      </c>
      <c r="G76" s="186">
        <v>10</v>
      </c>
    </row>
    <row r="77" spans="1:7" x14ac:dyDescent="0.15">
      <c r="A77" s="187"/>
      <c r="B77" s="187"/>
      <c r="C77" s="187"/>
      <c r="D77" s="187"/>
      <c r="E77" s="187"/>
      <c r="F77" s="184">
        <v>90</v>
      </c>
      <c r="G77" s="186">
        <v>10</v>
      </c>
    </row>
    <row r="78" spans="1:7" x14ac:dyDescent="0.15">
      <c r="A78" s="187"/>
      <c r="B78" s="187"/>
      <c r="C78" s="187"/>
      <c r="D78" s="187"/>
      <c r="E78" s="187"/>
      <c r="F78" s="183">
        <v>91</v>
      </c>
      <c r="G78" s="186">
        <v>10</v>
      </c>
    </row>
    <row r="79" spans="1:7" x14ac:dyDescent="0.15">
      <c r="A79" s="187"/>
      <c r="B79" s="187"/>
      <c r="C79" s="187"/>
      <c r="D79" s="187"/>
      <c r="E79" s="187"/>
      <c r="F79" s="184">
        <v>92</v>
      </c>
      <c r="G79" s="186">
        <v>10</v>
      </c>
    </row>
    <row r="80" spans="1:7" x14ac:dyDescent="0.15">
      <c r="A80" s="187"/>
      <c r="B80" s="187"/>
      <c r="C80" s="187"/>
      <c r="D80" s="187"/>
      <c r="E80" s="187"/>
      <c r="F80" s="183">
        <v>93</v>
      </c>
      <c r="G80" s="186">
        <v>10</v>
      </c>
    </row>
    <row r="81" spans="1:7" x14ac:dyDescent="0.15">
      <c r="A81" s="187"/>
      <c r="B81" s="187"/>
      <c r="C81" s="187"/>
      <c r="D81" s="187"/>
      <c r="E81" s="187"/>
      <c r="F81" s="184">
        <v>94</v>
      </c>
      <c r="G81" s="186">
        <v>10</v>
      </c>
    </row>
    <row r="82" spans="1:7" x14ac:dyDescent="0.15">
      <c r="A82" s="187"/>
      <c r="B82" s="187"/>
      <c r="C82" s="187"/>
      <c r="D82" s="187"/>
      <c r="E82" s="187"/>
      <c r="F82" s="183">
        <v>95</v>
      </c>
      <c r="G82" s="186">
        <v>10</v>
      </c>
    </row>
  </sheetData>
  <sheetProtection sheet="1" objects="1" scenarios="1"/>
  <phoneticPr fontId="9" type="noConversion"/>
  <pageMargins left="1.43" right="0.75" top="0.33" bottom="0.38" header="0" footer="0"/>
  <pageSetup paperSize="5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Ingreso Datos</vt:lpstr>
      <vt:lpstr>Resultados</vt:lpstr>
      <vt:lpstr>Tabla Mujeres</vt:lpstr>
      <vt:lpstr>Tabla Varones</vt:lpstr>
      <vt:lpstr>Estilo de Respuesta</vt:lpstr>
      <vt:lpstr>Resultados!Print_Area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16PF 5</dc:title>
  <dc:subject>CORRECCION AUTOMATIZADA</dc:subject>
  <dc:creator>JERIC-CEA</dc:creator>
  <cp:lastModifiedBy>X</cp:lastModifiedBy>
  <cp:lastPrinted>2008-11-10T17:52:47Z</cp:lastPrinted>
  <dcterms:created xsi:type="dcterms:W3CDTF">1998-07-04T02:42:13Z</dcterms:created>
  <dcterms:modified xsi:type="dcterms:W3CDTF">2025-08-30T11:54:40Z</dcterms:modified>
</cp:coreProperties>
</file>